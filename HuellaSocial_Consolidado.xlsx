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Memoria\ConsolidadoTotal\"/>
    </mc:Choice>
  </mc:AlternateContent>
  <xr:revisionPtr revIDLastSave="0" documentId="13_ncr:1_{8E22A03D-2636-43AF-8EA8-799228D8D29A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📋 Portada" sheetId="1" r:id="rId1"/>
    <sheet name="📊 Agregados DAES" sheetId="2" r:id="rId2"/>
    <sheet name="🏦 Agregados CMF" sheetId="3" r:id="rId3"/>
    <sheet name="🏦 Agregado Total" sheetId="11" r:id="rId4"/>
    <sheet name="📁 Panel DAES" sheetId="5" r:id="rId5"/>
    <sheet name="📁 Panel CMF" sheetId="6" r:id="rId6"/>
    <sheet name="🗺️ Registro CAC" sheetId="7" r:id="rId7"/>
    <sheet name="Cobertura de Datos" sheetId="12" r:id="rId8"/>
    <sheet name="Estadística Descriptiva" sheetId="13" r:id="rId9"/>
  </sheets>
  <definedNames>
    <definedName name="_xlnm._FilterDatabase" localSheetId="8" hidden="1">'Estadística Descriptiva'!$A$2:$I$146</definedName>
    <definedName name="_xlnm._FilterDatabase" localSheetId="5" hidden="1">'📁 Panel CMF'!$A$2:$P$93</definedName>
    <definedName name="_xlnm._FilterDatabase" localSheetId="4" hidden="1">'📁 Panel DAES'!$A$2:$P$136</definedName>
    <definedName name="_xlnm._FilterDatabase" localSheetId="6" hidden="1">'🗺️ Registro CAC'!$A$2:$H$944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" i="13" l="1"/>
  <c r="F135" i="13" a="1"/>
  <c r="F135" i="13" s="1"/>
  <c r="G135" i="13" a="1"/>
  <c r="G135" i="13" s="1"/>
  <c r="H135" i="13" a="1"/>
  <c r="H135" i="13" s="1"/>
  <c r="I135" i="13" a="1"/>
  <c r="I135" i="13" s="1"/>
  <c r="E136" i="13"/>
  <c r="F136" i="13" a="1"/>
  <c r="F136" i="13" s="1"/>
  <c r="G136" i="13" a="1"/>
  <c r="G136" i="13" s="1"/>
  <c r="H136" i="13" a="1"/>
  <c r="H136" i="13" s="1"/>
  <c r="I136" i="13" a="1"/>
  <c r="I136" i="13" s="1"/>
  <c r="E137" i="13"/>
  <c r="F137" i="13" a="1"/>
  <c r="F137" i="13" s="1"/>
  <c r="G137" i="13" a="1"/>
  <c r="G137" i="13" s="1"/>
  <c r="H137" i="13" a="1"/>
  <c r="H137" i="13" s="1"/>
  <c r="I137" i="13" a="1"/>
  <c r="I137" i="13" s="1"/>
  <c r="E138" i="13"/>
  <c r="F138" i="13" a="1"/>
  <c r="F138" i="13" s="1"/>
  <c r="G138" i="13" a="1"/>
  <c r="G138" i="13" s="1"/>
  <c r="H138" i="13" a="1"/>
  <c r="H138" i="13" s="1"/>
  <c r="I138" i="13" a="1"/>
  <c r="I138" i="13" s="1"/>
  <c r="E139" i="13"/>
  <c r="F139" i="13" a="1"/>
  <c r="F139" i="13" s="1"/>
  <c r="G139" i="13" a="1"/>
  <c r="G139" i="13" s="1"/>
  <c r="H139" i="13" a="1"/>
  <c r="H139" i="13" s="1"/>
  <c r="I139" i="13" a="1"/>
  <c r="I139" i="13" s="1"/>
  <c r="E140" i="13"/>
  <c r="F140" i="13" a="1"/>
  <c r="F140" i="13" s="1"/>
  <c r="G140" i="13" a="1"/>
  <c r="G140" i="13" s="1"/>
  <c r="H140" i="13" a="1"/>
  <c r="H140" i="13" s="1"/>
  <c r="I140" i="13" a="1"/>
  <c r="I140" i="13" s="1"/>
  <c r="E141" i="13"/>
  <c r="F141" i="13" a="1"/>
  <c r="F141" i="13" s="1"/>
  <c r="G141" i="13" a="1"/>
  <c r="G141" i="13" s="1"/>
  <c r="H141" i="13" a="1"/>
  <c r="H141" i="13" s="1"/>
  <c r="I141" i="13" a="1"/>
  <c r="I141" i="13" s="1"/>
  <c r="E142" i="13"/>
  <c r="F142" i="13" a="1"/>
  <c r="F142" i="13" s="1"/>
  <c r="G142" i="13" a="1"/>
  <c r="G142" i="13" s="1"/>
  <c r="H142" i="13" a="1"/>
  <c r="H142" i="13" s="1"/>
  <c r="I142" i="13" a="1"/>
  <c r="I142" i="13" s="1"/>
  <c r="E143" i="13"/>
  <c r="F143" i="13" a="1"/>
  <c r="F143" i="13" s="1"/>
  <c r="G143" i="13" a="1"/>
  <c r="G143" i="13" s="1"/>
  <c r="H143" i="13" a="1"/>
  <c r="H143" i="13" s="1"/>
  <c r="I143" i="13" a="1"/>
  <c r="I143" i="13" s="1"/>
  <c r="E144" i="13"/>
  <c r="F144" i="13" a="1"/>
  <c r="F144" i="13" s="1"/>
  <c r="G144" i="13" a="1"/>
  <c r="G144" i="13" s="1"/>
  <c r="H144" i="13" a="1"/>
  <c r="H144" i="13" s="1"/>
  <c r="I144" i="13" a="1"/>
  <c r="I144" i="13" s="1"/>
  <c r="E145" i="13"/>
  <c r="F145" i="13" a="1"/>
  <c r="F145" i="13" s="1"/>
  <c r="G145" i="13" a="1"/>
  <c r="G145" i="13" s="1"/>
  <c r="H145" i="13" a="1"/>
  <c r="H145" i="13" s="1"/>
  <c r="I145" i="13" a="1"/>
  <c r="I145" i="13" s="1"/>
  <c r="E146" i="13"/>
  <c r="F146" i="13" a="1"/>
  <c r="F146" i="13" s="1"/>
  <c r="G146" i="13" a="1"/>
  <c r="G146" i="13" s="1"/>
  <c r="H146" i="13" a="1"/>
  <c r="H146" i="13" s="1"/>
  <c r="I146" i="13" a="1"/>
  <c r="I146" i="13" s="1"/>
  <c r="I134" i="13" a="1"/>
  <c r="I134" i="13" s="1"/>
  <c r="H134" i="13" a="1"/>
  <c r="H134" i="13" s="1"/>
  <c r="G134" i="13" a="1"/>
  <c r="G134" i="13" s="1"/>
  <c r="F134" i="13" a="1"/>
  <c r="F134" i="13" s="1"/>
  <c r="E134" i="13"/>
  <c r="E122" i="13"/>
  <c r="F122" i="13" a="1"/>
  <c r="F122" i="13" s="1"/>
  <c r="G122" i="13" a="1"/>
  <c r="G122" i="13" s="1"/>
  <c r="H122" i="13" a="1"/>
  <c r="H122" i="13" s="1"/>
  <c r="I122" i="13" a="1"/>
  <c r="I122" i="13" s="1"/>
  <c r="E123" i="13"/>
  <c r="F123" i="13" a="1"/>
  <c r="F123" i="13" s="1"/>
  <c r="G123" i="13" a="1"/>
  <c r="G123" i="13" s="1"/>
  <c r="H123" i="13" a="1"/>
  <c r="H123" i="13" s="1"/>
  <c r="I123" i="13" a="1"/>
  <c r="I123" i="13" s="1"/>
  <c r="E124" i="13"/>
  <c r="F124" i="13" a="1"/>
  <c r="F124" i="13" s="1"/>
  <c r="G124" i="13" a="1"/>
  <c r="G124" i="13" s="1"/>
  <c r="H124" i="13" a="1"/>
  <c r="H124" i="13" s="1"/>
  <c r="I124" i="13" a="1"/>
  <c r="I124" i="13" s="1"/>
  <c r="E125" i="13"/>
  <c r="F125" i="13" a="1"/>
  <c r="F125" i="13" s="1"/>
  <c r="G125" i="13" a="1"/>
  <c r="G125" i="13" s="1"/>
  <c r="H125" i="13" a="1"/>
  <c r="H125" i="13" s="1"/>
  <c r="I125" i="13" a="1"/>
  <c r="I125" i="13" s="1"/>
  <c r="E126" i="13"/>
  <c r="F126" i="13" a="1"/>
  <c r="F126" i="13" s="1"/>
  <c r="G126" i="13" a="1"/>
  <c r="G126" i="13" s="1"/>
  <c r="H126" i="13" a="1"/>
  <c r="H126" i="13" s="1"/>
  <c r="I126" i="13" a="1"/>
  <c r="I126" i="13" s="1"/>
  <c r="E127" i="13"/>
  <c r="F127" i="13" a="1"/>
  <c r="F127" i="13" s="1"/>
  <c r="G127" i="13" a="1"/>
  <c r="G127" i="13" s="1"/>
  <c r="H127" i="13" a="1"/>
  <c r="H127" i="13" s="1"/>
  <c r="I127" i="13" a="1"/>
  <c r="I127" i="13" s="1"/>
  <c r="E128" i="13"/>
  <c r="F128" i="13" a="1"/>
  <c r="F128" i="13" s="1"/>
  <c r="G128" i="13" a="1"/>
  <c r="G128" i="13" s="1"/>
  <c r="H128" i="13" a="1"/>
  <c r="H128" i="13" s="1"/>
  <c r="I128" i="13" a="1"/>
  <c r="I128" i="13" s="1"/>
  <c r="E129" i="13"/>
  <c r="F129" i="13" a="1"/>
  <c r="F129" i="13" s="1"/>
  <c r="G129" i="13" a="1"/>
  <c r="G129" i="13" s="1"/>
  <c r="H129" i="13" a="1"/>
  <c r="H129" i="13" s="1"/>
  <c r="I129" i="13" a="1"/>
  <c r="I129" i="13" s="1"/>
  <c r="E130" i="13"/>
  <c r="F130" i="13" a="1"/>
  <c r="F130" i="13" s="1"/>
  <c r="G130" i="13" a="1"/>
  <c r="G130" i="13" s="1"/>
  <c r="H130" i="13" a="1"/>
  <c r="H130" i="13" s="1"/>
  <c r="I130" i="13" a="1"/>
  <c r="I130" i="13" s="1"/>
  <c r="E131" i="13"/>
  <c r="F131" i="13" a="1"/>
  <c r="F131" i="13" s="1"/>
  <c r="G131" i="13" a="1"/>
  <c r="G131" i="13" s="1"/>
  <c r="H131" i="13" a="1"/>
  <c r="H131" i="13" s="1"/>
  <c r="I131" i="13" a="1"/>
  <c r="I131" i="13" s="1"/>
  <c r="E132" i="13"/>
  <c r="F132" i="13" a="1"/>
  <c r="F132" i="13" s="1"/>
  <c r="G132" i="13" a="1"/>
  <c r="G132" i="13" s="1"/>
  <c r="H132" i="13" a="1"/>
  <c r="H132" i="13" s="1"/>
  <c r="I132" i="13" a="1"/>
  <c r="I132" i="13" s="1"/>
  <c r="E133" i="13"/>
  <c r="F133" i="13" a="1"/>
  <c r="F133" i="13" s="1"/>
  <c r="G133" i="13" a="1"/>
  <c r="G133" i="13" s="1"/>
  <c r="H133" i="13" a="1"/>
  <c r="H133" i="13" s="1"/>
  <c r="I133" i="13" a="1"/>
  <c r="I133" i="13" s="1"/>
  <c r="I121" i="13" a="1"/>
  <c r="I121" i="13" s="1"/>
  <c r="H121" i="13" a="1"/>
  <c r="H121" i="13" s="1"/>
  <c r="G121" i="13" a="1"/>
  <c r="G121" i="13" s="1"/>
  <c r="F121" i="13" a="1"/>
  <c r="F121" i="13" s="1"/>
  <c r="E121" i="13"/>
  <c r="E109" i="13"/>
  <c r="F109" i="13" a="1"/>
  <c r="F109" i="13" s="1"/>
  <c r="G109" i="13" a="1"/>
  <c r="G109" i="13" s="1"/>
  <c r="H109" i="13" a="1"/>
  <c r="H109" i="13" s="1"/>
  <c r="I109" i="13" a="1"/>
  <c r="I109" i="13" s="1"/>
  <c r="E110" i="13"/>
  <c r="F110" i="13" a="1"/>
  <c r="F110" i="13" s="1"/>
  <c r="G110" i="13" a="1"/>
  <c r="G110" i="13" s="1"/>
  <c r="H110" i="13" a="1"/>
  <c r="H110" i="13" s="1"/>
  <c r="I110" i="13" a="1"/>
  <c r="I110" i="13" s="1"/>
  <c r="E111" i="13"/>
  <c r="F111" i="13" a="1"/>
  <c r="F111" i="13" s="1"/>
  <c r="G111" i="13" a="1"/>
  <c r="G111" i="13" s="1"/>
  <c r="H111" i="13" a="1"/>
  <c r="H111" i="13" s="1"/>
  <c r="I111" i="13" a="1"/>
  <c r="I111" i="13" s="1"/>
  <c r="E112" i="13"/>
  <c r="F112" i="13" a="1"/>
  <c r="F112" i="13" s="1"/>
  <c r="G112" i="13" a="1"/>
  <c r="G112" i="13" s="1"/>
  <c r="H112" i="13" a="1"/>
  <c r="H112" i="13" s="1"/>
  <c r="I112" i="13" a="1"/>
  <c r="I112" i="13" s="1"/>
  <c r="E113" i="13"/>
  <c r="F113" i="13" a="1"/>
  <c r="F113" i="13" s="1"/>
  <c r="G113" i="13" a="1"/>
  <c r="G113" i="13" s="1"/>
  <c r="H113" i="13" a="1"/>
  <c r="H113" i="13" s="1"/>
  <c r="I113" i="13" a="1"/>
  <c r="I113" i="13" s="1"/>
  <c r="E114" i="13"/>
  <c r="F114" i="13" a="1"/>
  <c r="F114" i="13" s="1"/>
  <c r="G114" i="13" a="1"/>
  <c r="G114" i="13" s="1"/>
  <c r="H114" i="13" a="1"/>
  <c r="H114" i="13" s="1"/>
  <c r="I114" i="13" a="1"/>
  <c r="I114" i="13" s="1"/>
  <c r="E115" i="13"/>
  <c r="F115" i="13" a="1"/>
  <c r="F115" i="13" s="1"/>
  <c r="G115" i="13" a="1"/>
  <c r="G115" i="13" s="1"/>
  <c r="H115" i="13" a="1"/>
  <c r="H115" i="13" s="1"/>
  <c r="I115" i="13" a="1"/>
  <c r="I115" i="13" s="1"/>
  <c r="E116" i="13"/>
  <c r="F116" i="13" a="1"/>
  <c r="F116" i="13" s="1"/>
  <c r="G116" i="13" a="1"/>
  <c r="G116" i="13" s="1"/>
  <c r="H116" i="13" a="1"/>
  <c r="H116" i="13" s="1"/>
  <c r="I116" i="13" a="1"/>
  <c r="I116" i="13" s="1"/>
  <c r="E117" i="13"/>
  <c r="F117" i="13" a="1"/>
  <c r="F117" i="13" s="1"/>
  <c r="G117" i="13" a="1"/>
  <c r="G117" i="13" s="1"/>
  <c r="H117" i="13" a="1"/>
  <c r="H117" i="13" s="1"/>
  <c r="I117" i="13" a="1"/>
  <c r="I117" i="13" s="1"/>
  <c r="E118" i="13"/>
  <c r="F118" i="13" a="1"/>
  <c r="F118" i="13" s="1"/>
  <c r="G118" i="13" a="1"/>
  <c r="G118" i="13" s="1"/>
  <c r="H118" i="13" a="1"/>
  <c r="H118" i="13" s="1"/>
  <c r="I118" i="13" a="1"/>
  <c r="I118" i="13" s="1"/>
  <c r="E119" i="13"/>
  <c r="F119" i="13" a="1"/>
  <c r="F119" i="13" s="1"/>
  <c r="G119" i="13" a="1"/>
  <c r="G119" i="13" s="1"/>
  <c r="H119" i="13" a="1"/>
  <c r="H119" i="13" s="1"/>
  <c r="I119" i="13" a="1"/>
  <c r="I119" i="13" s="1"/>
  <c r="E120" i="13"/>
  <c r="F120" i="13" a="1"/>
  <c r="F120" i="13" s="1"/>
  <c r="G120" i="13" a="1"/>
  <c r="G120" i="13" s="1"/>
  <c r="H120" i="13" a="1"/>
  <c r="H120" i="13" s="1"/>
  <c r="I120" i="13" a="1"/>
  <c r="I120" i="13" s="1"/>
  <c r="I108" i="13" a="1"/>
  <c r="I108" i="13" s="1"/>
  <c r="H108" i="13" a="1"/>
  <c r="H108" i="13" s="1"/>
  <c r="G108" i="13" a="1"/>
  <c r="G108" i="13" s="1"/>
  <c r="F108" i="13" a="1"/>
  <c r="F108" i="13" s="1"/>
  <c r="E108" i="13"/>
  <c r="E96" i="13"/>
  <c r="F96" i="13" a="1"/>
  <c r="F96" i="13" s="1"/>
  <c r="G96" i="13" a="1"/>
  <c r="G96" i="13" s="1"/>
  <c r="H96" i="13" a="1"/>
  <c r="H96" i="13" s="1"/>
  <c r="I96" i="13" a="1"/>
  <c r="I96" i="13" s="1"/>
  <c r="E97" i="13"/>
  <c r="F97" i="13" a="1"/>
  <c r="F97" i="13" s="1"/>
  <c r="G97" i="13" a="1"/>
  <c r="G97" i="13" s="1"/>
  <c r="H97" i="13" a="1"/>
  <c r="H97" i="13" s="1"/>
  <c r="I97" i="13" a="1"/>
  <c r="I97" i="13" s="1"/>
  <c r="E98" i="13"/>
  <c r="F98" i="13" a="1"/>
  <c r="F98" i="13" s="1"/>
  <c r="G98" i="13" a="1"/>
  <c r="G98" i="13" s="1"/>
  <c r="H98" i="13" a="1"/>
  <c r="H98" i="13" s="1"/>
  <c r="I98" i="13" a="1"/>
  <c r="I98" i="13" s="1"/>
  <c r="E99" i="13"/>
  <c r="F99" i="13" a="1"/>
  <c r="F99" i="13" s="1"/>
  <c r="G99" i="13" a="1"/>
  <c r="G99" i="13" s="1"/>
  <c r="H99" i="13" a="1"/>
  <c r="H99" i="13" s="1"/>
  <c r="I99" i="13" a="1"/>
  <c r="I99" i="13" s="1"/>
  <c r="E100" i="13"/>
  <c r="F100" i="13" a="1"/>
  <c r="F100" i="13" s="1"/>
  <c r="G100" i="13" a="1"/>
  <c r="G100" i="13" s="1"/>
  <c r="H100" i="13" a="1"/>
  <c r="H100" i="13" s="1"/>
  <c r="I100" i="13" a="1"/>
  <c r="I100" i="13" s="1"/>
  <c r="E101" i="13"/>
  <c r="F101" i="13" a="1"/>
  <c r="F101" i="13" s="1"/>
  <c r="G101" i="13" a="1"/>
  <c r="G101" i="13" s="1"/>
  <c r="H101" i="13" a="1"/>
  <c r="H101" i="13" s="1"/>
  <c r="I101" i="13" a="1"/>
  <c r="I101" i="13" s="1"/>
  <c r="E102" i="13"/>
  <c r="F102" i="13" a="1"/>
  <c r="F102" i="13" s="1"/>
  <c r="G102" i="13" a="1"/>
  <c r="G102" i="13" s="1"/>
  <c r="H102" i="13" a="1"/>
  <c r="H102" i="13" s="1"/>
  <c r="I102" i="13" a="1"/>
  <c r="I102" i="13" s="1"/>
  <c r="E103" i="13"/>
  <c r="F103" i="13" a="1"/>
  <c r="F103" i="13" s="1"/>
  <c r="G103" i="13" a="1"/>
  <c r="G103" i="13" s="1"/>
  <c r="H103" i="13" a="1"/>
  <c r="H103" i="13" s="1"/>
  <c r="I103" i="13" a="1"/>
  <c r="I103" i="13" s="1"/>
  <c r="E104" i="13"/>
  <c r="F104" i="13" a="1"/>
  <c r="F104" i="13" s="1"/>
  <c r="G104" i="13" a="1"/>
  <c r="G104" i="13" s="1"/>
  <c r="H104" i="13" a="1"/>
  <c r="H104" i="13" s="1"/>
  <c r="I104" i="13" a="1"/>
  <c r="I104" i="13" s="1"/>
  <c r="E105" i="13"/>
  <c r="F105" i="13" a="1"/>
  <c r="F105" i="13" s="1"/>
  <c r="G105" i="13" a="1"/>
  <c r="G105" i="13" s="1"/>
  <c r="H105" i="13" a="1"/>
  <c r="H105" i="13" s="1"/>
  <c r="I105" i="13" a="1"/>
  <c r="I105" i="13" s="1"/>
  <c r="E106" i="13"/>
  <c r="F106" i="13" a="1"/>
  <c r="F106" i="13" s="1"/>
  <c r="G106" i="13" a="1"/>
  <c r="G106" i="13" s="1"/>
  <c r="H106" i="13" a="1"/>
  <c r="H106" i="13" s="1"/>
  <c r="I106" i="13" a="1"/>
  <c r="I106" i="13" s="1"/>
  <c r="E107" i="13"/>
  <c r="F107" i="13" a="1"/>
  <c r="F107" i="13" s="1"/>
  <c r="G107" i="13" a="1"/>
  <c r="G107" i="13" s="1"/>
  <c r="H107" i="13" a="1"/>
  <c r="H107" i="13" s="1"/>
  <c r="I107" i="13" a="1"/>
  <c r="I107" i="13" s="1"/>
  <c r="I95" i="13" a="1"/>
  <c r="I95" i="13" s="1"/>
  <c r="H95" i="13" a="1"/>
  <c r="H95" i="13" s="1"/>
  <c r="G95" i="13" a="1"/>
  <c r="G95" i="13" s="1"/>
  <c r="F95" i="13" a="1"/>
  <c r="F95" i="13" s="1"/>
  <c r="E95" i="13"/>
  <c r="E83" i="13"/>
  <c r="F83" i="13" a="1"/>
  <c r="F83" i="13" s="1"/>
  <c r="G83" i="13" a="1"/>
  <c r="G83" i="13" s="1"/>
  <c r="H83" i="13" a="1"/>
  <c r="H83" i="13" s="1"/>
  <c r="I83" i="13" a="1"/>
  <c r="I83" i="13" s="1"/>
  <c r="E84" i="13"/>
  <c r="F84" i="13" a="1"/>
  <c r="F84" i="13" s="1"/>
  <c r="G84" i="13" a="1"/>
  <c r="G84" i="13" s="1"/>
  <c r="H84" i="13" a="1"/>
  <c r="H84" i="13" s="1"/>
  <c r="I84" i="13" a="1"/>
  <c r="I84" i="13" s="1"/>
  <c r="E85" i="13"/>
  <c r="F85" i="13" a="1"/>
  <c r="F85" i="13" s="1"/>
  <c r="G85" i="13" a="1"/>
  <c r="G85" i="13" s="1"/>
  <c r="H85" i="13" a="1"/>
  <c r="H85" i="13" s="1"/>
  <c r="I85" i="13" a="1"/>
  <c r="I85" i="13" s="1"/>
  <c r="E86" i="13"/>
  <c r="F86" i="13" a="1"/>
  <c r="F86" i="13" s="1"/>
  <c r="G86" i="13" a="1"/>
  <c r="G86" i="13" s="1"/>
  <c r="H86" i="13" a="1"/>
  <c r="H86" i="13" s="1"/>
  <c r="I86" i="13" a="1"/>
  <c r="I86" i="13" s="1"/>
  <c r="E87" i="13"/>
  <c r="F87" i="13" a="1"/>
  <c r="F87" i="13" s="1"/>
  <c r="G87" i="13" a="1"/>
  <c r="G87" i="13" s="1"/>
  <c r="H87" i="13" a="1"/>
  <c r="H87" i="13" s="1"/>
  <c r="I87" i="13" a="1"/>
  <c r="I87" i="13" s="1"/>
  <c r="E88" i="13"/>
  <c r="F88" i="13" a="1"/>
  <c r="F88" i="13" s="1"/>
  <c r="G88" i="13" a="1"/>
  <c r="G88" i="13" s="1"/>
  <c r="H88" i="13" a="1"/>
  <c r="H88" i="13" s="1"/>
  <c r="I88" i="13" a="1"/>
  <c r="I88" i="13" s="1"/>
  <c r="E89" i="13"/>
  <c r="F89" i="13" a="1"/>
  <c r="F89" i="13" s="1"/>
  <c r="G89" i="13" a="1"/>
  <c r="G89" i="13" s="1"/>
  <c r="H89" i="13" a="1"/>
  <c r="H89" i="13" s="1"/>
  <c r="I89" i="13" a="1"/>
  <c r="I89" i="13" s="1"/>
  <c r="E90" i="13"/>
  <c r="F90" i="13" a="1"/>
  <c r="F90" i="13" s="1"/>
  <c r="G90" i="13" a="1"/>
  <c r="G90" i="13" s="1"/>
  <c r="H90" i="13" a="1"/>
  <c r="H90" i="13" s="1"/>
  <c r="I90" i="13" a="1"/>
  <c r="I90" i="13" s="1"/>
  <c r="E91" i="13"/>
  <c r="F91" i="13" a="1"/>
  <c r="F91" i="13" s="1"/>
  <c r="G91" i="13" a="1"/>
  <c r="G91" i="13" s="1"/>
  <c r="H91" i="13" a="1"/>
  <c r="H91" i="13" s="1"/>
  <c r="I91" i="13" a="1"/>
  <c r="I91" i="13" s="1"/>
  <c r="E92" i="13"/>
  <c r="F92" i="13" a="1"/>
  <c r="F92" i="13" s="1"/>
  <c r="G92" i="13" a="1"/>
  <c r="G92" i="13" s="1"/>
  <c r="H92" i="13" a="1"/>
  <c r="H92" i="13" s="1"/>
  <c r="I92" i="13" a="1"/>
  <c r="I92" i="13" s="1"/>
  <c r="E93" i="13"/>
  <c r="F93" i="13" a="1"/>
  <c r="F93" i="13" s="1"/>
  <c r="G93" i="13" a="1"/>
  <c r="G93" i="13" s="1"/>
  <c r="H93" i="13" a="1"/>
  <c r="H93" i="13" s="1"/>
  <c r="I93" i="13" a="1"/>
  <c r="I93" i="13" s="1"/>
  <c r="E94" i="13"/>
  <c r="F94" i="13" a="1"/>
  <c r="F94" i="13" s="1"/>
  <c r="G94" i="13" a="1"/>
  <c r="G94" i="13" s="1"/>
  <c r="H94" i="13" a="1"/>
  <c r="H94" i="13" s="1"/>
  <c r="I94" i="13" a="1"/>
  <c r="I94" i="13" s="1"/>
  <c r="I82" i="13" a="1"/>
  <c r="I82" i="13" s="1"/>
  <c r="H82" i="13" a="1"/>
  <c r="H82" i="13" s="1"/>
  <c r="G82" i="13" a="1"/>
  <c r="G82" i="13" s="1"/>
  <c r="F82" i="13" a="1"/>
  <c r="F82" i="13" s="1"/>
  <c r="E82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95" i="13"/>
  <c r="D94" i="13"/>
  <c r="D83" i="13"/>
  <c r="D84" i="13"/>
  <c r="D85" i="13"/>
  <c r="D86" i="13"/>
  <c r="D87" i="13"/>
  <c r="D88" i="13"/>
  <c r="D89" i="13"/>
  <c r="D90" i="13"/>
  <c r="D91" i="13"/>
  <c r="D92" i="13"/>
  <c r="D93" i="13"/>
  <c r="D82" i="13"/>
  <c r="E70" i="13"/>
  <c r="F70" i="13" a="1"/>
  <c r="F70" i="13" s="1"/>
  <c r="G70" i="13" a="1"/>
  <c r="G70" i="13" s="1"/>
  <c r="H70" i="13" a="1"/>
  <c r="H70" i="13" s="1"/>
  <c r="I70" i="13" a="1"/>
  <c r="I70" i="13" s="1"/>
  <c r="E71" i="13"/>
  <c r="F71" i="13" a="1"/>
  <c r="F71" i="13" s="1"/>
  <c r="G71" i="13" a="1"/>
  <c r="G71" i="13" s="1"/>
  <c r="H71" i="13" a="1"/>
  <c r="H71" i="13" s="1"/>
  <c r="I71" i="13" a="1"/>
  <c r="I71" i="13" s="1"/>
  <c r="E72" i="13"/>
  <c r="F72" i="13" a="1"/>
  <c r="F72" i="13" s="1"/>
  <c r="G72" i="13" a="1"/>
  <c r="G72" i="13" s="1"/>
  <c r="H72" i="13" a="1"/>
  <c r="H72" i="13" s="1"/>
  <c r="I72" i="13" a="1"/>
  <c r="I72" i="13" s="1"/>
  <c r="E73" i="13"/>
  <c r="F73" i="13" a="1"/>
  <c r="F73" i="13" s="1"/>
  <c r="G73" i="13" a="1"/>
  <c r="G73" i="13" s="1"/>
  <c r="H73" i="13" a="1"/>
  <c r="H73" i="13" s="1"/>
  <c r="I73" i="13" a="1"/>
  <c r="I73" i="13" s="1"/>
  <c r="E74" i="13"/>
  <c r="F74" i="13" a="1"/>
  <c r="F74" i="13" s="1"/>
  <c r="G74" i="13" a="1"/>
  <c r="G74" i="13" s="1"/>
  <c r="H74" i="13" a="1"/>
  <c r="H74" i="13" s="1"/>
  <c r="I74" i="13" a="1"/>
  <c r="I74" i="13" s="1"/>
  <c r="E75" i="13"/>
  <c r="F75" i="13" a="1"/>
  <c r="F75" i="13" s="1"/>
  <c r="G75" i="13" a="1"/>
  <c r="G75" i="13" s="1"/>
  <c r="H75" i="13" a="1"/>
  <c r="H75" i="13" s="1"/>
  <c r="I75" i="13" a="1"/>
  <c r="I75" i="13" s="1"/>
  <c r="E76" i="13"/>
  <c r="F76" i="13" a="1"/>
  <c r="F76" i="13" s="1"/>
  <c r="G76" i="13" a="1"/>
  <c r="G76" i="13" s="1"/>
  <c r="H76" i="13" a="1"/>
  <c r="H76" i="13" s="1"/>
  <c r="I76" i="13" a="1"/>
  <c r="I76" i="13" s="1"/>
  <c r="E77" i="13"/>
  <c r="F77" i="13" a="1"/>
  <c r="F77" i="13" s="1"/>
  <c r="G77" i="13" a="1"/>
  <c r="G77" i="13" s="1"/>
  <c r="H77" i="13" a="1"/>
  <c r="H77" i="13" s="1"/>
  <c r="I77" i="13" a="1"/>
  <c r="I77" i="13" s="1"/>
  <c r="E78" i="13"/>
  <c r="F78" i="13" a="1"/>
  <c r="F78" i="13" s="1"/>
  <c r="G78" i="13" a="1"/>
  <c r="G78" i="13" s="1"/>
  <c r="H78" i="13" a="1"/>
  <c r="H78" i="13" s="1"/>
  <c r="I78" i="13" a="1"/>
  <c r="I78" i="13" s="1"/>
  <c r="E79" i="13"/>
  <c r="F79" i="13" a="1"/>
  <c r="F79" i="13" s="1"/>
  <c r="G79" i="13" a="1"/>
  <c r="G79" i="13" s="1"/>
  <c r="H79" i="13" a="1"/>
  <c r="H79" i="13" s="1"/>
  <c r="I79" i="13" a="1"/>
  <c r="I79" i="13" s="1"/>
  <c r="E80" i="13"/>
  <c r="F80" i="13" a="1"/>
  <c r="F80" i="13" s="1"/>
  <c r="G80" i="13" a="1"/>
  <c r="G80" i="13" s="1"/>
  <c r="H80" i="13" a="1"/>
  <c r="H80" i="13" s="1"/>
  <c r="I80" i="13" a="1"/>
  <c r="I80" i="13" s="1"/>
  <c r="E81" i="13"/>
  <c r="F81" i="13" a="1"/>
  <c r="F81" i="13" s="1"/>
  <c r="G81" i="13" a="1"/>
  <c r="G81" i="13" s="1"/>
  <c r="H81" i="13" a="1"/>
  <c r="H81" i="13" s="1"/>
  <c r="I81" i="13" a="1"/>
  <c r="I81" i="13" s="1"/>
  <c r="I69" i="13" a="1"/>
  <c r="I69" i="13" s="1"/>
  <c r="H69" i="13" a="1"/>
  <c r="H69" i="13" s="1"/>
  <c r="G69" i="13" a="1"/>
  <c r="G69" i="13" s="1"/>
  <c r="F69" i="13" a="1"/>
  <c r="F69" i="13" s="1"/>
  <c r="E69" i="13"/>
  <c r="E3" i="13"/>
  <c r="E14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69" i="13"/>
  <c r="D3" i="13"/>
  <c r="E59" i="13"/>
  <c r="F59" i="13" a="1"/>
  <c r="F59" i="13" s="1"/>
  <c r="G59" i="13" a="1"/>
  <c r="G59" i="13" s="1"/>
  <c r="H59" i="13" a="1"/>
  <c r="H59" i="13" s="1"/>
  <c r="I59" i="13" a="1"/>
  <c r="I59" i="13" s="1"/>
  <c r="E60" i="13"/>
  <c r="F60" i="13" a="1"/>
  <c r="F60" i="13" s="1"/>
  <c r="G60" i="13" a="1"/>
  <c r="G60" i="13" s="1"/>
  <c r="H60" i="13" a="1"/>
  <c r="H60" i="13" s="1"/>
  <c r="I60" i="13" a="1"/>
  <c r="I60" i="13" s="1"/>
  <c r="E61" i="13"/>
  <c r="F61" i="13" a="1"/>
  <c r="F61" i="13" s="1"/>
  <c r="G61" i="13" a="1"/>
  <c r="G61" i="13" s="1"/>
  <c r="H61" i="13" a="1"/>
  <c r="H61" i="13" s="1"/>
  <c r="I61" i="13" a="1"/>
  <c r="I61" i="13" s="1"/>
  <c r="E62" i="13"/>
  <c r="F62" i="13" a="1"/>
  <c r="F62" i="13" s="1"/>
  <c r="G62" i="13" a="1"/>
  <c r="G62" i="13" s="1"/>
  <c r="H62" i="13" a="1"/>
  <c r="H62" i="13" s="1"/>
  <c r="I62" i="13" a="1"/>
  <c r="I62" i="13" s="1"/>
  <c r="E63" i="13"/>
  <c r="F63" i="13" a="1"/>
  <c r="F63" i="13" s="1"/>
  <c r="G63" i="13" a="1"/>
  <c r="G63" i="13" s="1"/>
  <c r="H63" i="13" a="1"/>
  <c r="H63" i="13" s="1"/>
  <c r="I63" i="13" a="1"/>
  <c r="I63" i="13" s="1"/>
  <c r="E64" i="13"/>
  <c r="F64" i="13" a="1"/>
  <c r="F64" i="13" s="1"/>
  <c r="G64" i="13" a="1"/>
  <c r="G64" i="13" s="1"/>
  <c r="H64" i="13" a="1"/>
  <c r="H64" i="13" s="1"/>
  <c r="I64" i="13" a="1"/>
  <c r="I64" i="13" s="1"/>
  <c r="E65" i="13"/>
  <c r="F65" i="13" a="1"/>
  <c r="F65" i="13" s="1"/>
  <c r="G65" i="13" a="1"/>
  <c r="G65" i="13" s="1"/>
  <c r="H65" i="13" a="1"/>
  <c r="H65" i="13" s="1"/>
  <c r="I65" i="13" a="1"/>
  <c r="I65" i="13" s="1"/>
  <c r="E66" i="13"/>
  <c r="F66" i="13" a="1"/>
  <c r="F66" i="13" s="1"/>
  <c r="G66" i="13" a="1"/>
  <c r="G66" i="13" s="1"/>
  <c r="H66" i="13" a="1"/>
  <c r="H66" i="13" s="1"/>
  <c r="I66" i="13" a="1"/>
  <c r="I66" i="13" s="1"/>
  <c r="E67" i="13"/>
  <c r="F67" i="13" a="1"/>
  <c r="F67" i="13" s="1"/>
  <c r="G67" i="13" a="1"/>
  <c r="G67" i="13" s="1"/>
  <c r="H67" i="13" a="1"/>
  <c r="H67" i="13" s="1"/>
  <c r="I67" i="13" a="1"/>
  <c r="I67" i="13" s="1"/>
  <c r="E68" i="13"/>
  <c r="F68" i="13" a="1"/>
  <c r="F68" i="13" s="1"/>
  <c r="G68" i="13" a="1"/>
  <c r="G68" i="13" s="1"/>
  <c r="H68" i="13" a="1"/>
  <c r="H68" i="13" s="1"/>
  <c r="I68" i="13" a="1"/>
  <c r="I68" i="13" s="1"/>
  <c r="I58" i="13" a="1"/>
  <c r="I58" i="13" s="1"/>
  <c r="H58" i="13" a="1"/>
  <c r="H58" i="13" s="1"/>
  <c r="G58" i="13" a="1"/>
  <c r="G58" i="13" s="1"/>
  <c r="F58" i="13" a="1"/>
  <c r="F58" i="13" s="1"/>
  <c r="E58" i="13"/>
  <c r="E48" i="13"/>
  <c r="F48" i="13" a="1"/>
  <c r="F48" i="13" s="1"/>
  <c r="G48" i="13" a="1"/>
  <c r="G48" i="13" s="1"/>
  <c r="H48" i="13" a="1"/>
  <c r="H48" i="13" s="1"/>
  <c r="I48" i="13" a="1"/>
  <c r="I48" i="13" s="1"/>
  <c r="E49" i="13"/>
  <c r="F49" i="13" a="1"/>
  <c r="F49" i="13" s="1"/>
  <c r="G49" i="13" a="1"/>
  <c r="G49" i="13" s="1"/>
  <c r="H49" i="13" a="1"/>
  <c r="H49" i="13" s="1"/>
  <c r="I49" i="13" a="1"/>
  <c r="I49" i="13" s="1"/>
  <c r="E50" i="13"/>
  <c r="F50" i="13" a="1"/>
  <c r="F50" i="13" s="1"/>
  <c r="G50" i="13" a="1"/>
  <c r="G50" i="13" s="1"/>
  <c r="H50" i="13" a="1"/>
  <c r="H50" i="13" s="1"/>
  <c r="I50" i="13" a="1"/>
  <c r="I50" i="13" s="1"/>
  <c r="E51" i="13"/>
  <c r="F51" i="13" a="1"/>
  <c r="F51" i="13" s="1"/>
  <c r="G51" i="13" a="1"/>
  <c r="G51" i="13" s="1"/>
  <c r="H51" i="13" a="1"/>
  <c r="H51" i="13" s="1"/>
  <c r="I51" i="13" a="1"/>
  <c r="I51" i="13" s="1"/>
  <c r="E52" i="13"/>
  <c r="F52" i="13" a="1"/>
  <c r="F52" i="13" s="1"/>
  <c r="G52" i="13" a="1"/>
  <c r="G52" i="13" s="1"/>
  <c r="H52" i="13" a="1"/>
  <c r="H52" i="13" s="1"/>
  <c r="I52" i="13" a="1"/>
  <c r="I52" i="13" s="1"/>
  <c r="E53" i="13"/>
  <c r="F53" i="13" a="1"/>
  <c r="F53" i="13" s="1"/>
  <c r="G53" i="13" a="1"/>
  <c r="G53" i="13" s="1"/>
  <c r="H53" i="13" a="1"/>
  <c r="H53" i="13" s="1"/>
  <c r="I53" i="13" a="1"/>
  <c r="I53" i="13" s="1"/>
  <c r="E54" i="13"/>
  <c r="F54" i="13" a="1"/>
  <c r="F54" i="13" s="1"/>
  <c r="G54" i="13" a="1"/>
  <c r="G54" i="13" s="1"/>
  <c r="H54" i="13" a="1"/>
  <c r="H54" i="13" s="1"/>
  <c r="I54" i="13" a="1"/>
  <c r="I54" i="13" s="1"/>
  <c r="E55" i="13"/>
  <c r="F55" i="13" a="1"/>
  <c r="F55" i="13" s="1"/>
  <c r="G55" i="13" a="1"/>
  <c r="G55" i="13" s="1"/>
  <c r="H55" i="13" a="1"/>
  <c r="H55" i="13" s="1"/>
  <c r="I55" i="13" a="1"/>
  <c r="I55" i="13" s="1"/>
  <c r="E56" i="13"/>
  <c r="F56" i="13" a="1"/>
  <c r="F56" i="13" s="1"/>
  <c r="G56" i="13" a="1"/>
  <c r="G56" i="13" s="1"/>
  <c r="H56" i="13" a="1"/>
  <c r="H56" i="13" s="1"/>
  <c r="I56" i="13" a="1"/>
  <c r="I56" i="13" s="1"/>
  <c r="E57" i="13"/>
  <c r="F57" i="13" a="1"/>
  <c r="F57" i="13" s="1"/>
  <c r="G57" i="13" a="1"/>
  <c r="G57" i="13" s="1"/>
  <c r="H57" i="13" a="1"/>
  <c r="H57" i="13" s="1"/>
  <c r="I57" i="13" a="1"/>
  <c r="I57" i="13" s="1"/>
  <c r="I47" i="13" a="1"/>
  <c r="I47" i="13" s="1"/>
  <c r="H47" i="13" a="1"/>
  <c r="H47" i="13" s="1"/>
  <c r="G47" i="13" a="1"/>
  <c r="G47" i="13" s="1"/>
  <c r="F47" i="13" a="1"/>
  <c r="F47" i="13" s="1"/>
  <c r="E47" i="13"/>
  <c r="D59" i="13"/>
  <c r="D60" i="13"/>
  <c r="D61" i="13"/>
  <c r="D62" i="13"/>
  <c r="D63" i="13"/>
  <c r="D64" i="13"/>
  <c r="D65" i="13"/>
  <c r="D66" i="13"/>
  <c r="D67" i="13"/>
  <c r="D68" i="13"/>
  <c r="D58" i="13"/>
  <c r="D48" i="13"/>
  <c r="D49" i="13"/>
  <c r="D50" i="13"/>
  <c r="D51" i="13"/>
  <c r="D52" i="13"/>
  <c r="D53" i="13"/>
  <c r="D54" i="13"/>
  <c r="D55" i="13"/>
  <c r="D56" i="13"/>
  <c r="D57" i="13"/>
  <c r="D47" i="13"/>
  <c r="D15" i="13"/>
  <c r="D16" i="13"/>
  <c r="D17" i="13"/>
  <c r="D18" i="13"/>
  <c r="D19" i="13"/>
  <c r="D20" i="13"/>
  <c r="D21" i="13"/>
  <c r="D22" i="13"/>
  <c r="D23" i="13"/>
  <c r="D24" i="13"/>
  <c r="D14" i="13"/>
  <c r="E20" i="2"/>
  <c r="E37" i="13"/>
  <c r="F37" i="13" a="1"/>
  <c r="F37" i="13" s="1"/>
  <c r="G37" i="13" a="1"/>
  <c r="G37" i="13" s="1"/>
  <c r="H37" i="13" a="1"/>
  <c r="H37" i="13" s="1"/>
  <c r="I37" i="13" a="1"/>
  <c r="I37" i="13" s="1"/>
  <c r="E38" i="13"/>
  <c r="F38" i="13" a="1"/>
  <c r="F38" i="13" s="1"/>
  <c r="G38" i="13" a="1"/>
  <c r="G38" i="13" s="1"/>
  <c r="H38" i="13" a="1"/>
  <c r="H38" i="13" s="1"/>
  <c r="I38" i="13" a="1"/>
  <c r="I38" i="13" s="1"/>
  <c r="E39" i="13"/>
  <c r="F39" i="13" a="1"/>
  <c r="F39" i="13" s="1"/>
  <c r="G39" i="13" a="1"/>
  <c r="G39" i="13" s="1"/>
  <c r="H39" i="13" a="1"/>
  <c r="H39" i="13" s="1"/>
  <c r="I39" i="13" a="1"/>
  <c r="I39" i="13" s="1"/>
  <c r="E40" i="13"/>
  <c r="F40" i="13" a="1"/>
  <c r="F40" i="13" s="1"/>
  <c r="G40" i="13" a="1"/>
  <c r="G40" i="13" s="1"/>
  <c r="H40" i="13" a="1"/>
  <c r="H40" i="13" s="1"/>
  <c r="I40" i="13" a="1"/>
  <c r="I40" i="13" s="1"/>
  <c r="E41" i="13"/>
  <c r="F41" i="13" a="1"/>
  <c r="F41" i="13" s="1"/>
  <c r="G41" i="13" a="1"/>
  <c r="G41" i="13" s="1"/>
  <c r="H41" i="13" a="1"/>
  <c r="H41" i="13" s="1"/>
  <c r="I41" i="13" a="1"/>
  <c r="I41" i="13" s="1"/>
  <c r="E42" i="13"/>
  <c r="F42" i="13" a="1"/>
  <c r="F42" i="13" s="1"/>
  <c r="G42" i="13" a="1"/>
  <c r="G42" i="13" s="1"/>
  <c r="H42" i="13" a="1"/>
  <c r="H42" i="13" s="1"/>
  <c r="I42" i="13" a="1"/>
  <c r="I42" i="13" s="1"/>
  <c r="E43" i="13"/>
  <c r="F43" i="13" a="1"/>
  <c r="F43" i="13" s="1"/>
  <c r="G43" i="13" a="1"/>
  <c r="G43" i="13" s="1"/>
  <c r="H43" i="13" a="1"/>
  <c r="H43" i="13" s="1"/>
  <c r="I43" i="13" a="1"/>
  <c r="I43" i="13" s="1"/>
  <c r="E44" i="13"/>
  <c r="F44" i="13" a="1"/>
  <c r="F44" i="13" s="1"/>
  <c r="G44" i="13" a="1"/>
  <c r="G44" i="13" s="1"/>
  <c r="H44" i="13" a="1"/>
  <c r="H44" i="13" s="1"/>
  <c r="I44" i="13" a="1"/>
  <c r="I44" i="13" s="1"/>
  <c r="E45" i="13"/>
  <c r="F45" i="13" a="1"/>
  <c r="F45" i="13" s="1"/>
  <c r="G45" i="13" a="1"/>
  <c r="G45" i="13" s="1"/>
  <c r="H45" i="13" a="1"/>
  <c r="H45" i="13" s="1"/>
  <c r="I45" i="13" a="1"/>
  <c r="I45" i="13" s="1"/>
  <c r="E46" i="13"/>
  <c r="F46" i="13" a="1"/>
  <c r="F46" i="13" s="1"/>
  <c r="G46" i="13" a="1"/>
  <c r="G46" i="13" s="1"/>
  <c r="H46" i="13" a="1"/>
  <c r="H46" i="13" s="1"/>
  <c r="I46" i="13" a="1"/>
  <c r="I46" i="13" s="1"/>
  <c r="I36" i="13" a="1"/>
  <c r="I36" i="13" s="1"/>
  <c r="H36" i="13" a="1"/>
  <c r="H36" i="13" s="1"/>
  <c r="G36" i="13" a="1"/>
  <c r="G36" i="13" s="1"/>
  <c r="F36" i="13" a="1"/>
  <c r="F36" i="13" s="1"/>
  <c r="E36" i="13"/>
  <c r="E26" i="13"/>
  <c r="F26" i="13" a="1"/>
  <c r="F26" i="13" s="1"/>
  <c r="G26" i="13" a="1"/>
  <c r="G26" i="13" s="1"/>
  <c r="H26" i="13" a="1"/>
  <c r="H26" i="13" s="1"/>
  <c r="I26" i="13" a="1"/>
  <c r="I26" i="13" s="1"/>
  <c r="E27" i="13"/>
  <c r="F27" i="13" a="1"/>
  <c r="F27" i="13" s="1"/>
  <c r="G27" i="13" a="1"/>
  <c r="G27" i="13" s="1"/>
  <c r="H27" i="13" a="1"/>
  <c r="H27" i="13" s="1"/>
  <c r="I27" i="13" a="1"/>
  <c r="I27" i="13" s="1"/>
  <c r="E28" i="13"/>
  <c r="F28" i="13" a="1"/>
  <c r="F28" i="13" s="1"/>
  <c r="G28" i="13" a="1"/>
  <c r="G28" i="13" s="1"/>
  <c r="H28" i="13" a="1"/>
  <c r="H28" i="13" s="1"/>
  <c r="I28" i="13" a="1"/>
  <c r="I28" i="13" s="1"/>
  <c r="E29" i="13"/>
  <c r="F29" i="13" a="1"/>
  <c r="F29" i="13" s="1"/>
  <c r="G29" i="13" a="1"/>
  <c r="G29" i="13" s="1"/>
  <c r="H29" i="13" a="1"/>
  <c r="H29" i="13" s="1"/>
  <c r="I29" i="13" a="1"/>
  <c r="I29" i="13" s="1"/>
  <c r="E30" i="13"/>
  <c r="F30" i="13" a="1"/>
  <c r="F30" i="13" s="1"/>
  <c r="G30" i="13" a="1"/>
  <c r="G30" i="13" s="1"/>
  <c r="H30" i="13" a="1"/>
  <c r="H30" i="13" s="1"/>
  <c r="I30" i="13" a="1"/>
  <c r="I30" i="13" s="1"/>
  <c r="E31" i="13"/>
  <c r="F31" i="13" a="1"/>
  <c r="F31" i="13" s="1"/>
  <c r="G31" i="13" a="1"/>
  <c r="G31" i="13" s="1"/>
  <c r="H31" i="13" a="1"/>
  <c r="H31" i="13" s="1"/>
  <c r="I31" i="13" a="1"/>
  <c r="I31" i="13" s="1"/>
  <c r="E32" i="13"/>
  <c r="F32" i="13" a="1"/>
  <c r="F32" i="13" s="1"/>
  <c r="G32" i="13" a="1"/>
  <c r="G32" i="13" s="1"/>
  <c r="H32" i="13" a="1"/>
  <c r="H32" i="13" s="1"/>
  <c r="I32" i="13" a="1"/>
  <c r="I32" i="13" s="1"/>
  <c r="E33" i="13"/>
  <c r="F33" i="13" a="1"/>
  <c r="F33" i="13" s="1"/>
  <c r="G33" i="13" a="1"/>
  <c r="G33" i="13" s="1"/>
  <c r="H33" i="13" a="1"/>
  <c r="H33" i="13" s="1"/>
  <c r="I33" i="13" a="1"/>
  <c r="I33" i="13" s="1"/>
  <c r="E34" i="13"/>
  <c r="F34" i="13" a="1"/>
  <c r="F34" i="13" s="1"/>
  <c r="G34" i="13" a="1"/>
  <c r="G34" i="13" s="1"/>
  <c r="H34" i="13" a="1"/>
  <c r="H34" i="13" s="1"/>
  <c r="I34" i="13" a="1"/>
  <c r="I34" i="13" s="1"/>
  <c r="E35" i="13"/>
  <c r="F35" i="13" a="1"/>
  <c r="F35" i="13" s="1"/>
  <c r="G35" i="13" a="1"/>
  <c r="G35" i="13" s="1"/>
  <c r="H35" i="13" a="1"/>
  <c r="H35" i="13" s="1"/>
  <c r="I35" i="13" a="1"/>
  <c r="I35" i="13" s="1"/>
  <c r="I25" i="13" a="1"/>
  <c r="I25" i="13" s="1"/>
  <c r="H25" i="13" a="1"/>
  <c r="H25" i="13" s="1"/>
  <c r="G25" i="13" a="1"/>
  <c r="G25" i="13" s="1"/>
  <c r="F25" i="13" a="1"/>
  <c r="F25" i="13" s="1"/>
  <c r="E25" i="13"/>
  <c r="H15" i="13" a="1"/>
  <c r="H15" i="13" s="1"/>
  <c r="I15" i="13" a="1"/>
  <c r="I15" i="13" s="1"/>
  <c r="H16" i="13" a="1"/>
  <c r="H16" i="13" s="1"/>
  <c r="I16" i="13" a="1"/>
  <c r="I16" i="13" s="1"/>
  <c r="H17" i="13" a="1"/>
  <c r="H17" i="13" s="1"/>
  <c r="I17" i="13" a="1"/>
  <c r="I17" i="13" s="1"/>
  <c r="H18" i="13" a="1"/>
  <c r="H18" i="13" s="1"/>
  <c r="I18" i="13" a="1"/>
  <c r="I18" i="13" s="1"/>
  <c r="H19" i="13" a="1"/>
  <c r="H19" i="13" s="1"/>
  <c r="I19" i="13" a="1"/>
  <c r="I19" i="13" s="1"/>
  <c r="H20" i="13" a="1"/>
  <c r="H20" i="13" s="1"/>
  <c r="I20" i="13" a="1"/>
  <c r="I20" i="13" s="1"/>
  <c r="H21" i="13" a="1"/>
  <c r="H21" i="13" s="1"/>
  <c r="I21" i="13" a="1"/>
  <c r="I21" i="13" s="1"/>
  <c r="H22" i="13" a="1"/>
  <c r="H22" i="13" s="1"/>
  <c r="I22" i="13" a="1"/>
  <c r="I22" i="13" s="1"/>
  <c r="H23" i="13" a="1"/>
  <c r="H23" i="13" s="1"/>
  <c r="I23" i="13" a="1"/>
  <c r="I23" i="13" s="1"/>
  <c r="H24" i="13" a="1"/>
  <c r="H24" i="13" s="1"/>
  <c r="I24" i="13" a="1"/>
  <c r="I24" i="13" s="1"/>
  <c r="I14" i="13" a="1"/>
  <c r="I14" i="13" s="1"/>
  <c r="H14" i="13" a="1"/>
  <c r="H14" i="13" s="1"/>
  <c r="G24" i="13" a="1"/>
  <c r="G24" i="13" s="1"/>
  <c r="G15" i="13" a="1"/>
  <c r="G15" i="13" s="1"/>
  <c r="G16" i="13" a="1"/>
  <c r="G16" i="13" s="1"/>
  <c r="G17" i="13" a="1"/>
  <c r="G17" i="13" s="1"/>
  <c r="G18" i="13" a="1"/>
  <c r="G18" i="13" s="1"/>
  <c r="G19" i="13" a="1"/>
  <c r="G19" i="13" s="1"/>
  <c r="G20" i="13" a="1"/>
  <c r="G20" i="13" s="1"/>
  <c r="G21" i="13" a="1"/>
  <c r="G21" i="13" s="1"/>
  <c r="G22" i="13" a="1"/>
  <c r="G22" i="13" s="1"/>
  <c r="G23" i="13" a="1"/>
  <c r="G23" i="13" s="1"/>
  <c r="G14" i="13" a="1"/>
  <c r="G14" i="13" s="1"/>
  <c r="F24" i="13" a="1"/>
  <c r="F24" i="13" s="1"/>
  <c r="F15" i="13" a="1"/>
  <c r="F15" i="13" s="1"/>
  <c r="F16" i="13" a="1"/>
  <c r="F16" i="13" s="1"/>
  <c r="F17" i="13" a="1"/>
  <c r="F17" i="13" s="1"/>
  <c r="F18" i="13" a="1"/>
  <c r="F18" i="13" s="1"/>
  <c r="F19" i="13" a="1"/>
  <c r="F19" i="13" s="1"/>
  <c r="F20" i="13" a="1"/>
  <c r="F20" i="13" s="1"/>
  <c r="F21" i="13" a="1"/>
  <c r="F21" i="13" s="1"/>
  <c r="F22" i="13" a="1"/>
  <c r="F22" i="13" s="1"/>
  <c r="F23" i="13" a="1"/>
  <c r="F23" i="13" s="1"/>
  <c r="F14" i="13" a="1"/>
  <c r="F14" i="13" s="1"/>
  <c r="F3" i="13" a="1"/>
  <c r="F3" i="13" s="1"/>
  <c r="E15" i="13"/>
  <c r="E16" i="13"/>
  <c r="E17" i="13"/>
  <c r="E18" i="13"/>
  <c r="E19" i="13"/>
  <c r="E20" i="13"/>
  <c r="E21" i="13"/>
  <c r="E22" i="13"/>
  <c r="E23" i="13"/>
  <c r="E24" i="13"/>
  <c r="H4" i="13" a="1"/>
  <c r="H4" i="13" s="1"/>
  <c r="I4" i="13" a="1"/>
  <c r="I4" i="13" s="1"/>
  <c r="H5" i="13" a="1"/>
  <c r="H5" i="13" s="1"/>
  <c r="I5" i="13" a="1"/>
  <c r="I5" i="13" s="1"/>
  <c r="H6" i="13" a="1"/>
  <c r="H6" i="13" s="1"/>
  <c r="I6" i="13" a="1"/>
  <c r="I6" i="13" s="1"/>
  <c r="H7" i="13" a="1"/>
  <c r="H7" i="13" s="1"/>
  <c r="I7" i="13" a="1"/>
  <c r="I7" i="13" s="1"/>
  <c r="H8" i="13" a="1"/>
  <c r="H8" i="13" s="1"/>
  <c r="I8" i="13" a="1"/>
  <c r="I8" i="13" s="1"/>
  <c r="H9" i="13" a="1"/>
  <c r="H9" i="13" s="1"/>
  <c r="I9" i="13" a="1"/>
  <c r="I9" i="13" s="1"/>
  <c r="H10" i="13" a="1"/>
  <c r="H10" i="13" s="1"/>
  <c r="I10" i="13" a="1"/>
  <c r="I10" i="13" s="1"/>
  <c r="H11" i="13" a="1"/>
  <c r="H11" i="13" s="1"/>
  <c r="I11" i="13" a="1"/>
  <c r="I11" i="13" s="1"/>
  <c r="H12" i="13" a="1"/>
  <c r="H12" i="13" s="1"/>
  <c r="I12" i="13" a="1"/>
  <c r="I12" i="13" s="1"/>
  <c r="H13" i="13" a="1"/>
  <c r="H13" i="13" s="1"/>
  <c r="I13" i="13" a="1"/>
  <c r="I13" i="13" s="1"/>
  <c r="I3" i="13" a="1"/>
  <c r="I3" i="13" s="1"/>
  <c r="H3" i="13" a="1"/>
  <c r="H3" i="13" s="1"/>
  <c r="G4" i="13" a="1"/>
  <c r="G4" i="13" s="1"/>
  <c r="G5" i="13" a="1"/>
  <c r="G5" i="13" s="1"/>
  <c r="G6" i="13" a="1"/>
  <c r="G6" i="13" s="1"/>
  <c r="G7" i="13" a="1"/>
  <c r="G7" i="13" s="1"/>
  <c r="G8" i="13" a="1"/>
  <c r="G8" i="13" s="1"/>
  <c r="G9" i="13" a="1"/>
  <c r="G9" i="13" s="1"/>
  <c r="G10" i="13" a="1"/>
  <c r="G10" i="13" s="1"/>
  <c r="G11" i="13" a="1"/>
  <c r="G11" i="13" s="1"/>
  <c r="G12" i="13" a="1"/>
  <c r="G12" i="13" s="1"/>
  <c r="G13" i="13" a="1"/>
  <c r="G13" i="13" s="1"/>
  <c r="G3" i="13" a="1"/>
  <c r="G3" i="13" s="1"/>
  <c r="F4" i="13" a="1"/>
  <c r="F4" i="13" s="1"/>
  <c r="F5" i="13" a="1"/>
  <c r="F5" i="13" s="1"/>
  <c r="F6" i="13" a="1"/>
  <c r="F6" i="13" s="1"/>
  <c r="F7" i="13" a="1"/>
  <c r="F7" i="13" s="1"/>
  <c r="F8" i="13" a="1"/>
  <c r="F8" i="13" s="1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E4" i="13"/>
  <c r="E5" i="13"/>
  <c r="E6" i="13"/>
  <c r="E7" i="13"/>
  <c r="E8" i="13"/>
  <c r="E9" i="13"/>
  <c r="E10" i="13"/>
  <c r="E11" i="13"/>
  <c r="E12" i="13"/>
  <c r="E13" i="13"/>
  <c r="D37" i="13"/>
  <c r="D38" i="13"/>
  <c r="D39" i="13"/>
  <c r="D40" i="13"/>
  <c r="D41" i="13"/>
  <c r="D42" i="13"/>
  <c r="D43" i="13"/>
  <c r="D44" i="13"/>
  <c r="D45" i="13"/>
  <c r="D46" i="13"/>
  <c r="D36" i="13"/>
  <c r="N4" i="12"/>
  <c r="O4" i="12" s="1"/>
  <c r="D26" i="13"/>
  <c r="D27" i="13"/>
  <c r="D28" i="13"/>
  <c r="D29" i="13"/>
  <c r="D30" i="13"/>
  <c r="D31" i="13"/>
  <c r="D32" i="13"/>
  <c r="D33" i="13"/>
  <c r="D34" i="13"/>
  <c r="D35" i="13"/>
  <c r="D25" i="13"/>
  <c r="L4" i="12"/>
  <c r="M4" i="12" s="1"/>
  <c r="F4" i="12"/>
  <c r="G4" i="12" s="1"/>
  <c r="D4" i="13"/>
  <c r="D5" i="13"/>
  <c r="D6" i="13"/>
  <c r="D7" i="13"/>
  <c r="D8" i="13"/>
  <c r="D9" i="13"/>
  <c r="D10" i="13"/>
  <c r="D11" i="13"/>
  <c r="D12" i="13"/>
  <c r="D13" i="13"/>
  <c r="D4" i="12"/>
  <c r="B4" i="2"/>
  <c r="N5" i="12"/>
  <c r="O5" i="12" s="1"/>
  <c r="N6" i="12"/>
  <c r="O6" i="12" s="1"/>
  <c r="N7" i="12"/>
  <c r="O7" i="12" s="1"/>
  <c r="N8" i="12"/>
  <c r="O8" i="12" s="1"/>
  <c r="N9" i="12"/>
  <c r="O9" i="12" s="1"/>
  <c r="N10" i="12"/>
  <c r="O10" i="12" s="1"/>
  <c r="N11" i="12"/>
  <c r="O11" i="12" s="1"/>
  <c r="N12" i="12"/>
  <c r="O12" i="12" s="1"/>
  <c r="N13" i="12"/>
  <c r="O13" i="12" s="1"/>
  <c r="N14" i="12"/>
  <c r="O14" i="12" s="1"/>
  <c r="L5" i="12"/>
  <c r="M5" i="12" s="1"/>
  <c r="L6" i="12"/>
  <c r="M6" i="12" s="1"/>
  <c r="L7" i="12"/>
  <c r="M7" i="12" s="1"/>
  <c r="L8" i="12"/>
  <c r="M8" i="12" s="1"/>
  <c r="L9" i="12"/>
  <c r="M9" i="12" s="1"/>
  <c r="L10" i="12"/>
  <c r="M10" i="12" s="1"/>
  <c r="L11" i="12"/>
  <c r="M11" i="12" s="1"/>
  <c r="L12" i="12"/>
  <c r="M12" i="12" s="1"/>
  <c r="L13" i="12"/>
  <c r="M13" i="12" s="1"/>
  <c r="L14" i="12"/>
  <c r="M14" i="12" s="1"/>
  <c r="J5" i="12"/>
  <c r="K5" i="12" s="1"/>
  <c r="J6" i="12"/>
  <c r="K6" i="12" s="1"/>
  <c r="J7" i="12"/>
  <c r="K7" i="12" s="1"/>
  <c r="J8" i="12"/>
  <c r="K8" i="12" s="1"/>
  <c r="J9" i="12"/>
  <c r="K9" i="12" s="1"/>
  <c r="J10" i="12"/>
  <c r="K10" i="12" s="1"/>
  <c r="J11" i="12"/>
  <c r="K11" i="12" s="1"/>
  <c r="J12" i="12"/>
  <c r="K12" i="12" s="1"/>
  <c r="J13" i="12"/>
  <c r="K13" i="12" s="1"/>
  <c r="J14" i="12"/>
  <c r="K14" i="12" s="1"/>
  <c r="J4" i="12"/>
  <c r="K4" i="12" s="1"/>
  <c r="H5" i="12"/>
  <c r="I5" i="12" s="1"/>
  <c r="H6" i="12"/>
  <c r="I6" i="12" s="1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4" i="12"/>
  <c r="I4" i="12" s="1"/>
  <c r="F5" i="12"/>
  <c r="G5" i="12" s="1"/>
  <c r="F6" i="12"/>
  <c r="G6" i="12" s="1"/>
  <c r="F7" i="12"/>
  <c r="G7" i="12" s="1"/>
  <c r="F8" i="12"/>
  <c r="G8" i="12" s="1"/>
  <c r="F9" i="12"/>
  <c r="G9" i="12" s="1"/>
  <c r="F10" i="12"/>
  <c r="G10" i="12" s="1"/>
  <c r="F11" i="12"/>
  <c r="G11" i="12" s="1"/>
  <c r="F12" i="12"/>
  <c r="G12" i="12" s="1"/>
  <c r="F13" i="12"/>
  <c r="G13" i="12" s="1"/>
  <c r="F14" i="12"/>
  <c r="G14" i="12" s="1"/>
  <c r="D5" i="12"/>
  <c r="D6" i="12"/>
  <c r="D7" i="12"/>
  <c r="D8" i="12"/>
  <c r="D9" i="12"/>
  <c r="D10" i="12"/>
  <c r="D11" i="12"/>
  <c r="D12" i="12"/>
  <c r="D13" i="12"/>
  <c r="D14" i="12"/>
  <c r="B5" i="12"/>
  <c r="B6" i="12"/>
  <c r="B7" i="12"/>
  <c r="B8" i="12"/>
  <c r="B9" i="12"/>
  <c r="B10" i="12"/>
  <c r="B11" i="12"/>
  <c r="B12" i="12"/>
  <c r="B13" i="12"/>
  <c r="B14" i="12"/>
  <c r="B4" i="12"/>
  <c r="B35" i="11"/>
  <c r="B34" i="11"/>
  <c r="B33" i="11"/>
  <c r="B32" i="11"/>
  <c r="B31" i="11"/>
  <c r="B30" i="11"/>
  <c r="B29" i="11"/>
  <c r="B28" i="11"/>
  <c r="B27" i="11"/>
  <c r="B26" i="11"/>
  <c r="B25" i="11"/>
  <c r="K37" i="6"/>
  <c r="H4" i="11"/>
  <c r="D36" i="3"/>
  <c r="D35" i="11" s="1"/>
  <c r="E36" i="3"/>
  <c r="E35" i="11" s="1"/>
  <c r="F36" i="3"/>
  <c r="F35" i="11" s="1"/>
  <c r="C36" i="3"/>
  <c r="C35" i="11" s="1"/>
  <c r="B36" i="3"/>
  <c r="F24" i="3"/>
  <c r="F23" i="11" s="1"/>
  <c r="G23" i="11" s="1"/>
  <c r="E24" i="3"/>
  <c r="E23" i="11" s="1"/>
  <c r="D24" i="3"/>
  <c r="D23" i="11" s="1"/>
  <c r="C24" i="3"/>
  <c r="C23" i="11" s="1"/>
  <c r="C25" i="3"/>
  <c r="B24" i="3"/>
  <c r="B23" i="11" s="1"/>
  <c r="B25" i="3"/>
  <c r="F35" i="3"/>
  <c r="F26" i="3"/>
  <c r="F27" i="3"/>
  <c r="F28" i="3"/>
  <c r="G28" i="3" s="1"/>
  <c r="F29" i="3"/>
  <c r="F30" i="3"/>
  <c r="F31" i="3"/>
  <c r="F32" i="3"/>
  <c r="F33" i="3"/>
  <c r="F34" i="3"/>
  <c r="E26" i="3"/>
  <c r="E27" i="3"/>
  <c r="H27" i="3" s="1"/>
  <c r="E28" i="3"/>
  <c r="E29" i="3"/>
  <c r="E30" i="3"/>
  <c r="E31" i="3"/>
  <c r="E32" i="3"/>
  <c r="E33" i="3"/>
  <c r="E34" i="3"/>
  <c r="E35" i="3"/>
  <c r="F25" i="3"/>
  <c r="E25" i="3"/>
  <c r="E24" i="11" s="1"/>
  <c r="D26" i="3"/>
  <c r="D27" i="3"/>
  <c r="D28" i="3"/>
  <c r="D29" i="3"/>
  <c r="D30" i="3"/>
  <c r="D31" i="3"/>
  <c r="D32" i="3"/>
  <c r="D33" i="3"/>
  <c r="D34" i="3"/>
  <c r="D35" i="3"/>
  <c r="D25" i="3"/>
  <c r="C26" i="3"/>
  <c r="C27" i="3"/>
  <c r="G27" i="3" s="1"/>
  <c r="C28" i="3"/>
  <c r="C29" i="3"/>
  <c r="C30" i="3"/>
  <c r="G30" i="3" s="1"/>
  <c r="C31" i="3"/>
  <c r="C32" i="3"/>
  <c r="C33" i="3"/>
  <c r="C34" i="3"/>
  <c r="C35" i="3"/>
  <c r="B26" i="3"/>
  <c r="B27" i="3"/>
  <c r="B28" i="3"/>
  <c r="B29" i="3"/>
  <c r="B30" i="3"/>
  <c r="B31" i="3"/>
  <c r="B32" i="3"/>
  <c r="B33" i="3"/>
  <c r="B34" i="3"/>
  <c r="B35" i="3"/>
  <c r="F21" i="2"/>
  <c r="F25" i="11" s="1"/>
  <c r="F22" i="2"/>
  <c r="F26" i="11" s="1"/>
  <c r="F23" i="2"/>
  <c r="F27" i="11" s="1"/>
  <c r="F24" i="2"/>
  <c r="F28" i="11" s="1"/>
  <c r="F25" i="2"/>
  <c r="F29" i="11" s="1"/>
  <c r="F26" i="2"/>
  <c r="F30" i="11" s="1"/>
  <c r="F27" i="2"/>
  <c r="F31" i="11" s="1"/>
  <c r="F28" i="2"/>
  <c r="F32" i="11" s="1"/>
  <c r="F29" i="2"/>
  <c r="F33" i="11" s="1"/>
  <c r="F30" i="2"/>
  <c r="F34" i="11" s="1"/>
  <c r="F20" i="2"/>
  <c r="E21" i="2"/>
  <c r="E25" i="11" s="1"/>
  <c r="E22" i="2"/>
  <c r="E26" i="11" s="1"/>
  <c r="E23" i="2"/>
  <c r="E24" i="2"/>
  <c r="E25" i="2"/>
  <c r="E29" i="11" s="1"/>
  <c r="E26" i="2"/>
  <c r="E27" i="2"/>
  <c r="E31" i="11" s="1"/>
  <c r="E28" i="2"/>
  <c r="E32" i="11" s="1"/>
  <c r="E29" i="2"/>
  <c r="E33" i="11" s="1"/>
  <c r="E30" i="2"/>
  <c r="E34" i="11" s="1"/>
  <c r="D21" i="2"/>
  <c r="D25" i="11" s="1"/>
  <c r="D22" i="2"/>
  <c r="D23" i="2"/>
  <c r="D27" i="11" s="1"/>
  <c r="D24" i="2"/>
  <c r="D28" i="11" s="1"/>
  <c r="D25" i="2"/>
  <c r="D29" i="11" s="1"/>
  <c r="D26" i="2"/>
  <c r="D30" i="11" s="1"/>
  <c r="D27" i="2"/>
  <c r="D28" i="2"/>
  <c r="D29" i="2"/>
  <c r="D33" i="11" s="1"/>
  <c r="D30" i="2"/>
  <c r="D20" i="2"/>
  <c r="D24" i="11" s="1"/>
  <c r="C20" i="2"/>
  <c r="C21" i="2"/>
  <c r="C25" i="11" s="1"/>
  <c r="C22" i="2"/>
  <c r="C23" i="2"/>
  <c r="C27" i="11" s="1"/>
  <c r="C24" i="2"/>
  <c r="C25" i="2"/>
  <c r="C26" i="2"/>
  <c r="C27" i="2"/>
  <c r="C28" i="2"/>
  <c r="C32" i="11" s="1"/>
  <c r="C29" i="2"/>
  <c r="C33" i="11" s="1"/>
  <c r="C30" i="2"/>
  <c r="C34" i="11" s="1"/>
  <c r="B21" i="2"/>
  <c r="B22" i="2"/>
  <c r="B23" i="2"/>
  <c r="B24" i="2"/>
  <c r="B25" i="2"/>
  <c r="B26" i="2"/>
  <c r="B27" i="2"/>
  <c r="B28" i="2"/>
  <c r="B29" i="2"/>
  <c r="B30" i="2"/>
  <c r="B20" i="2"/>
  <c r="B24" i="11" s="1"/>
  <c r="F112" i="5"/>
  <c r="G112" i="5" s="1"/>
  <c r="F4" i="5"/>
  <c r="G4" i="5" s="1"/>
  <c r="F5" i="5"/>
  <c r="G5" i="5" s="1"/>
  <c r="I5" i="5" s="1"/>
  <c r="F6" i="5"/>
  <c r="G6" i="5" s="1"/>
  <c r="I6" i="5" s="1"/>
  <c r="F7" i="5"/>
  <c r="G7" i="5" s="1"/>
  <c r="F8" i="5"/>
  <c r="G8" i="5" s="1"/>
  <c r="I8" i="5" s="1"/>
  <c r="F9" i="5"/>
  <c r="G9" i="5" s="1"/>
  <c r="F10" i="5"/>
  <c r="G10" i="5" s="1"/>
  <c r="F11" i="5"/>
  <c r="G11" i="5" s="1"/>
  <c r="F12" i="5"/>
  <c r="G12" i="5" s="1"/>
  <c r="F13" i="5"/>
  <c r="G13" i="5" s="1"/>
  <c r="I13" i="5" s="1"/>
  <c r="F14" i="5"/>
  <c r="G14" i="5" s="1"/>
  <c r="F15" i="5"/>
  <c r="G15" i="5" s="1"/>
  <c r="F16" i="5"/>
  <c r="G16" i="5" s="1"/>
  <c r="I16" i="5" s="1"/>
  <c r="F17" i="5"/>
  <c r="G17" i="5" s="1"/>
  <c r="F18" i="5"/>
  <c r="G18" i="5" s="1"/>
  <c r="F19" i="5"/>
  <c r="G19" i="5" s="1"/>
  <c r="F20" i="5"/>
  <c r="G20" i="5" s="1"/>
  <c r="F21" i="5"/>
  <c r="G21" i="5" s="1"/>
  <c r="I21" i="5" s="1"/>
  <c r="F22" i="5"/>
  <c r="G22" i="5" s="1"/>
  <c r="F23" i="5"/>
  <c r="G23" i="5" s="1"/>
  <c r="F24" i="5"/>
  <c r="G24" i="5" s="1"/>
  <c r="I24" i="5" s="1"/>
  <c r="F25" i="5"/>
  <c r="G25" i="5" s="1"/>
  <c r="F26" i="5"/>
  <c r="G26" i="5" s="1"/>
  <c r="F27" i="5"/>
  <c r="G27" i="5" s="1"/>
  <c r="F28" i="5"/>
  <c r="G28" i="5" s="1"/>
  <c r="F29" i="5"/>
  <c r="G29" i="5" s="1"/>
  <c r="I29" i="5" s="1"/>
  <c r="F30" i="5"/>
  <c r="G30" i="5" s="1"/>
  <c r="F31" i="5"/>
  <c r="G31" i="5" s="1"/>
  <c r="F32" i="5"/>
  <c r="G32" i="5" s="1"/>
  <c r="I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3" i="5"/>
  <c r="G3" i="5" s="1"/>
  <c r="B5" i="2"/>
  <c r="B6" i="2"/>
  <c r="B7" i="2"/>
  <c r="B8" i="2"/>
  <c r="B9" i="2"/>
  <c r="B10" i="2"/>
  <c r="B11" i="2"/>
  <c r="B12" i="2"/>
  <c r="B13" i="2"/>
  <c r="B14" i="2"/>
  <c r="H5" i="2"/>
  <c r="H6" i="2"/>
  <c r="H7" i="2"/>
  <c r="H8" i="2"/>
  <c r="H9" i="2"/>
  <c r="H10" i="2"/>
  <c r="H11" i="2"/>
  <c r="H12" i="2"/>
  <c r="H13" i="2"/>
  <c r="H14" i="2"/>
  <c r="H4" i="2"/>
  <c r="F5" i="2"/>
  <c r="F6" i="2"/>
  <c r="F7" i="2"/>
  <c r="F8" i="2"/>
  <c r="F9" i="2"/>
  <c r="F10" i="2"/>
  <c r="F11" i="2"/>
  <c r="F12" i="2"/>
  <c r="F13" i="2"/>
  <c r="F14" i="2"/>
  <c r="F4" i="2"/>
  <c r="C5" i="2"/>
  <c r="D5" i="2" s="1"/>
  <c r="E5" i="2" s="1"/>
  <c r="C6" i="2"/>
  <c r="D6" i="2" s="1"/>
  <c r="E6" i="2" s="1"/>
  <c r="C7" i="2"/>
  <c r="D7" i="2" s="1"/>
  <c r="E7" i="2" s="1"/>
  <c r="K7" i="2" s="1"/>
  <c r="C8" i="2"/>
  <c r="D8" i="2" s="1"/>
  <c r="E8" i="2" s="1"/>
  <c r="C9" i="2"/>
  <c r="C10" i="2"/>
  <c r="C11" i="2"/>
  <c r="C12" i="2"/>
  <c r="D12" i="2" s="1"/>
  <c r="E12" i="2" s="1"/>
  <c r="C13" i="2"/>
  <c r="C14" i="2"/>
  <c r="C4" i="2"/>
  <c r="C4" i="11"/>
  <c r="C4" i="3"/>
  <c r="D4" i="3" s="1"/>
  <c r="E4" i="3" s="1"/>
  <c r="F4" i="11"/>
  <c r="H5" i="3"/>
  <c r="H6" i="3"/>
  <c r="H7" i="3"/>
  <c r="H8" i="3"/>
  <c r="H9" i="3"/>
  <c r="H10" i="3"/>
  <c r="H11" i="3"/>
  <c r="H12" i="3"/>
  <c r="H13" i="3"/>
  <c r="H14" i="3"/>
  <c r="H15" i="3"/>
  <c r="H16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4" i="3"/>
  <c r="B5" i="3"/>
  <c r="B6" i="3"/>
  <c r="B7" i="3"/>
  <c r="B8" i="3"/>
  <c r="B9" i="3"/>
  <c r="B10" i="3"/>
  <c r="B11" i="3"/>
  <c r="B12" i="3"/>
  <c r="B13" i="3"/>
  <c r="B14" i="3"/>
  <c r="B15" i="3"/>
  <c r="B16" i="3"/>
  <c r="B16" i="11" s="1"/>
  <c r="B4" i="3"/>
  <c r="C16" i="3"/>
  <c r="C5" i="3"/>
  <c r="C6" i="3"/>
  <c r="D6" i="3" s="1"/>
  <c r="C7" i="3"/>
  <c r="C8" i="3"/>
  <c r="C9" i="3"/>
  <c r="D9" i="3" s="1"/>
  <c r="E9" i="3" s="1"/>
  <c r="C10" i="3"/>
  <c r="D10" i="3" s="1"/>
  <c r="C11" i="3"/>
  <c r="D11" i="3" s="1"/>
  <c r="C12" i="3"/>
  <c r="D12" i="3" s="1"/>
  <c r="C13" i="3"/>
  <c r="D13" i="3" s="1"/>
  <c r="E13" i="3" s="1"/>
  <c r="C14" i="3"/>
  <c r="D14" i="3" s="1"/>
  <c r="E14" i="3" s="1"/>
  <c r="C15" i="3"/>
  <c r="F54" i="6"/>
  <c r="G54" i="6" s="1"/>
  <c r="F53" i="6"/>
  <c r="G53" i="6" s="1"/>
  <c r="F52" i="6"/>
  <c r="G52" i="6" s="1"/>
  <c r="F51" i="6"/>
  <c r="G51" i="6" s="1"/>
  <c r="F50" i="6"/>
  <c r="G50" i="6" s="1"/>
  <c r="F93" i="6"/>
  <c r="G93" i="6" s="1"/>
  <c r="P93" i="6" s="1"/>
  <c r="K24" i="6"/>
  <c r="F4" i="6"/>
  <c r="G4" i="6" s="1"/>
  <c r="I4" i="6" s="1"/>
  <c r="F5" i="6"/>
  <c r="G5" i="6" s="1"/>
  <c r="I5" i="6" s="1"/>
  <c r="F6" i="6"/>
  <c r="G6" i="6" s="1"/>
  <c r="I6" i="6" s="1"/>
  <c r="F7" i="6"/>
  <c r="G7" i="6" s="1"/>
  <c r="I7" i="6" s="1"/>
  <c r="F8" i="6"/>
  <c r="G8" i="6" s="1"/>
  <c r="I8" i="6" s="1"/>
  <c r="F9" i="6"/>
  <c r="G9" i="6" s="1"/>
  <c r="P9" i="6" s="1"/>
  <c r="F10" i="6"/>
  <c r="G10" i="6" s="1"/>
  <c r="I10" i="6" s="1"/>
  <c r="F11" i="6"/>
  <c r="G11" i="6" s="1"/>
  <c r="P11" i="6" s="1"/>
  <c r="F12" i="6"/>
  <c r="G12" i="6" s="1"/>
  <c r="I12" i="6" s="1"/>
  <c r="F13" i="6"/>
  <c r="G13" i="6" s="1"/>
  <c r="I13" i="6" s="1"/>
  <c r="F14" i="6"/>
  <c r="G14" i="6" s="1"/>
  <c r="I14" i="6" s="1"/>
  <c r="F15" i="6"/>
  <c r="G15" i="6" s="1"/>
  <c r="I15" i="6" s="1"/>
  <c r="F16" i="6"/>
  <c r="G16" i="6" s="1"/>
  <c r="I16" i="6" s="1"/>
  <c r="F17" i="6"/>
  <c r="G17" i="6" s="1"/>
  <c r="P17" i="6" s="1"/>
  <c r="F18" i="6"/>
  <c r="G18" i="6" s="1"/>
  <c r="I18" i="6" s="1"/>
  <c r="F19" i="6"/>
  <c r="G19" i="6" s="1"/>
  <c r="P19" i="6" s="1"/>
  <c r="F20" i="6"/>
  <c r="G20" i="6" s="1"/>
  <c r="I20" i="6" s="1"/>
  <c r="F21" i="6"/>
  <c r="G21" i="6" s="1"/>
  <c r="I21" i="6" s="1"/>
  <c r="F22" i="6"/>
  <c r="G22" i="6" s="1"/>
  <c r="I22" i="6" s="1"/>
  <c r="F23" i="6"/>
  <c r="G23" i="6" s="1"/>
  <c r="I23" i="6" s="1"/>
  <c r="F24" i="6"/>
  <c r="G24" i="6" s="1"/>
  <c r="I24" i="6" s="1"/>
  <c r="F25" i="6"/>
  <c r="G25" i="6" s="1"/>
  <c r="P25" i="6" s="1"/>
  <c r="F26" i="6"/>
  <c r="G26" i="6" s="1"/>
  <c r="I26" i="6" s="1"/>
  <c r="F27" i="6"/>
  <c r="G27" i="6" s="1"/>
  <c r="P27" i="6" s="1"/>
  <c r="F28" i="6"/>
  <c r="G28" i="6" s="1"/>
  <c r="I28" i="6" s="1"/>
  <c r="F29" i="6"/>
  <c r="G29" i="6" s="1"/>
  <c r="I29" i="6" s="1"/>
  <c r="F30" i="6"/>
  <c r="G30" i="6" s="1"/>
  <c r="I30" i="6" s="1"/>
  <c r="F31" i="6"/>
  <c r="G31" i="6" s="1"/>
  <c r="I31" i="6" s="1"/>
  <c r="F32" i="6"/>
  <c r="G32" i="6" s="1"/>
  <c r="I32" i="6" s="1"/>
  <c r="F33" i="6"/>
  <c r="G33" i="6" s="1"/>
  <c r="P33" i="6" s="1"/>
  <c r="F34" i="6"/>
  <c r="G34" i="6" s="1"/>
  <c r="I34" i="6" s="1"/>
  <c r="F35" i="6"/>
  <c r="G35" i="6" s="1"/>
  <c r="P35" i="6" s="1"/>
  <c r="F36" i="6"/>
  <c r="G36" i="6" s="1"/>
  <c r="I36" i="6" s="1"/>
  <c r="F37" i="6"/>
  <c r="G37" i="6" s="1"/>
  <c r="I37" i="6" s="1"/>
  <c r="F38" i="6"/>
  <c r="G38" i="6" s="1"/>
  <c r="I38" i="6" s="1"/>
  <c r="F39" i="6"/>
  <c r="G39" i="6" s="1"/>
  <c r="I39" i="6" s="1"/>
  <c r="F40" i="6"/>
  <c r="G40" i="6" s="1"/>
  <c r="I40" i="6" s="1"/>
  <c r="F41" i="6"/>
  <c r="G41" i="6" s="1"/>
  <c r="P41" i="6" s="1"/>
  <c r="F42" i="6"/>
  <c r="G42" i="6" s="1"/>
  <c r="I42" i="6" s="1"/>
  <c r="F43" i="6"/>
  <c r="G43" i="6" s="1"/>
  <c r="P43" i="6" s="1"/>
  <c r="F44" i="6"/>
  <c r="G44" i="6" s="1"/>
  <c r="I44" i="6" s="1"/>
  <c r="F45" i="6"/>
  <c r="G45" i="6" s="1"/>
  <c r="I45" i="6" s="1"/>
  <c r="F46" i="6"/>
  <c r="G46" i="6" s="1"/>
  <c r="I46" i="6" s="1"/>
  <c r="F47" i="6"/>
  <c r="G47" i="6" s="1"/>
  <c r="I47" i="6" s="1"/>
  <c r="F48" i="6"/>
  <c r="G48" i="6" s="1"/>
  <c r="I48" i="6" s="1"/>
  <c r="F49" i="6"/>
  <c r="G49" i="6" s="1"/>
  <c r="P49" i="6" s="1"/>
  <c r="F55" i="6"/>
  <c r="G55" i="6" s="1"/>
  <c r="I55" i="6" s="1"/>
  <c r="F56" i="6"/>
  <c r="G56" i="6" s="1"/>
  <c r="P56" i="6" s="1"/>
  <c r="F57" i="6"/>
  <c r="G57" i="6" s="1"/>
  <c r="I57" i="6" s="1"/>
  <c r="F58" i="6"/>
  <c r="G58" i="6" s="1"/>
  <c r="I58" i="6" s="1"/>
  <c r="F59" i="6"/>
  <c r="G59" i="6" s="1"/>
  <c r="I59" i="6" s="1"/>
  <c r="F60" i="6"/>
  <c r="G60" i="6" s="1"/>
  <c r="I60" i="6" s="1"/>
  <c r="F61" i="6"/>
  <c r="G61" i="6" s="1"/>
  <c r="I61" i="6" s="1"/>
  <c r="F62" i="6"/>
  <c r="G62" i="6" s="1"/>
  <c r="P62" i="6" s="1"/>
  <c r="F63" i="6"/>
  <c r="G63" i="6" s="1"/>
  <c r="I63" i="6" s="1"/>
  <c r="F64" i="6"/>
  <c r="G64" i="6" s="1"/>
  <c r="P64" i="6" s="1"/>
  <c r="F65" i="6"/>
  <c r="G65" i="6" s="1"/>
  <c r="I65" i="6" s="1"/>
  <c r="F66" i="6"/>
  <c r="G66" i="6" s="1"/>
  <c r="I66" i="6" s="1"/>
  <c r="F67" i="6"/>
  <c r="G67" i="6" s="1"/>
  <c r="I67" i="6" s="1"/>
  <c r="F68" i="6"/>
  <c r="G68" i="6" s="1"/>
  <c r="I68" i="6" s="1"/>
  <c r="F69" i="6"/>
  <c r="G69" i="6" s="1"/>
  <c r="I69" i="6" s="1"/>
  <c r="F70" i="6"/>
  <c r="G70" i="6" s="1"/>
  <c r="P70" i="6" s="1"/>
  <c r="F71" i="6"/>
  <c r="G71" i="6" s="1"/>
  <c r="I71" i="6" s="1"/>
  <c r="F72" i="6"/>
  <c r="G72" i="6" s="1"/>
  <c r="P72" i="6" s="1"/>
  <c r="F73" i="6"/>
  <c r="G73" i="6" s="1"/>
  <c r="I73" i="6" s="1"/>
  <c r="F74" i="6"/>
  <c r="G74" i="6" s="1"/>
  <c r="I74" i="6" s="1"/>
  <c r="F75" i="6"/>
  <c r="G75" i="6" s="1"/>
  <c r="I75" i="6" s="1"/>
  <c r="F76" i="6"/>
  <c r="G76" i="6" s="1"/>
  <c r="I76" i="6" s="1"/>
  <c r="F77" i="6"/>
  <c r="G77" i="6" s="1"/>
  <c r="I77" i="6" s="1"/>
  <c r="F78" i="6"/>
  <c r="G78" i="6" s="1"/>
  <c r="P78" i="6" s="1"/>
  <c r="F79" i="6"/>
  <c r="G79" i="6" s="1"/>
  <c r="I79" i="6" s="1"/>
  <c r="F80" i="6"/>
  <c r="G80" i="6" s="1"/>
  <c r="P80" i="6" s="1"/>
  <c r="F81" i="6"/>
  <c r="G81" i="6" s="1"/>
  <c r="I81" i="6" s="1"/>
  <c r="F82" i="6"/>
  <c r="G82" i="6" s="1"/>
  <c r="I82" i="6" s="1"/>
  <c r="F83" i="6"/>
  <c r="G83" i="6" s="1"/>
  <c r="I83" i="6" s="1"/>
  <c r="F84" i="6"/>
  <c r="G84" i="6" s="1"/>
  <c r="I84" i="6" s="1"/>
  <c r="F85" i="6"/>
  <c r="G85" i="6" s="1"/>
  <c r="I85" i="6" s="1"/>
  <c r="F86" i="6"/>
  <c r="G86" i="6" s="1"/>
  <c r="P86" i="6" s="1"/>
  <c r="F87" i="6"/>
  <c r="G87" i="6" s="1"/>
  <c r="I87" i="6" s="1"/>
  <c r="F88" i="6"/>
  <c r="G88" i="6" s="1"/>
  <c r="P88" i="6" s="1"/>
  <c r="F89" i="6"/>
  <c r="G89" i="6" s="1"/>
  <c r="I89" i="6" s="1"/>
  <c r="F90" i="6"/>
  <c r="G90" i="6" s="1"/>
  <c r="I90" i="6" s="1"/>
  <c r="F91" i="6"/>
  <c r="G91" i="6" s="1"/>
  <c r="I91" i="6" s="1"/>
  <c r="F92" i="6"/>
  <c r="G92" i="6" s="1"/>
  <c r="I92" i="6" s="1"/>
  <c r="F3" i="6"/>
  <c r="G3" i="6" s="1"/>
  <c r="I3" i="6" s="1"/>
  <c r="H23" i="2"/>
  <c r="H25" i="2"/>
  <c r="C24" i="11" l="1"/>
  <c r="C31" i="11"/>
  <c r="E30" i="11"/>
  <c r="C30" i="11"/>
  <c r="D34" i="11"/>
  <c r="D26" i="11"/>
  <c r="C29" i="11"/>
  <c r="G29" i="11" s="1"/>
  <c r="E28" i="11"/>
  <c r="D32" i="11"/>
  <c r="G35" i="11"/>
  <c r="G24" i="2"/>
  <c r="G23" i="2"/>
  <c r="G25" i="2"/>
  <c r="H24" i="2"/>
  <c r="E7" i="12"/>
  <c r="E9" i="12"/>
  <c r="E10" i="12"/>
  <c r="E4" i="12"/>
  <c r="E8" i="12"/>
  <c r="E14" i="12"/>
  <c r="E6" i="12"/>
  <c r="E13" i="12"/>
  <c r="E5" i="12"/>
  <c r="E12" i="12"/>
  <c r="E11" i="12"/>
  <c r="H29" i="2"/>
  <c r="H23" i="11"/>
  <c r="F24" i="11"/>
  <c r="F36" i="11" s="1"/>
  <c r="G33" i="11"/>
  <c r="F37" i="3"/>
  <c r="C28" i="11"/>
  <c r="G28" i="11" s="1"/>
  <c r="E27" i="11"/>
  <c r="E36" i="11" s="1"/>
  <c r="G27" i="11"/>
  <c r="D31" i="11"/>
  <c r="G29" i="2"/>
  <c r="G34" i="11"/>
  <c r="E31" i="2"/>
  <c r="H27" i="2"/>
  <c r="G28" i="2"/>
  <c r="H30" i="11"/>
  <c r="H28" i="2"/>
  <c r="G27" i="2"/>
  <c r="H26" i="2"/>
  <c r="G21" i="2"/>
  <c r="G25" i="11"/>
  <c r="G31" i="11"/>
  <c r="H24" i="11"/>
  <c r="H25" i="11"/>
  <c r="G22" i="2"/>
  <c r="C26" i="11"/>
  <c r="G26" i="11" s="1"/>
  <c r="F11" i="11"/>
  <c r="G26" i="2"/>
  <c r="G32" i="11"/>
  <c r="G30" i="11"/>
  <c r="H35" i="11"/>
  <c r="H34" i="11"/>
  <c r="H33" i="11"/>
  <c r="H32" i="11"/>
  <c r="H31" i="11"/>
  <c r="D37" i="3"/>
  <c r="G36" i="3"/>
  <c r="H29" i="3"/>
  <c r="C37" i="3"/>
  <c r="G26" i="3"/>
  <c r="E37" i="3"/>
  <c r="H36" i="3"/>
  <c r="H30" i="3"/>
  <c r="H31" i="3"/>
  <c r="H24" i="3"/>
  <c r="G24" i="3"/>
  <c r="H28" i="3"/>
  <c r="G29" i="3"/>
  <c r="G25" i="3"/>
  <c r="H26" i="3"/>
  <c r="G33" i="3"/>
  <c r="G31" i="3"/>
  <c r="H35" i="3"/>
  <c r="H34" i="3"/>
  <c r="G35" i="3"/>
  <c r="H33" i="3"/>
  <c r="H32" i="3"/>
  <c r="G32" i="3"/>
  <c r="G34" i="3"/>
  <c r="H25" i="3"/>
  <c r="F31" i="2"/>
  <c r="G30" i="2"/>
  <c r="H20" i="2"/>
  <c r="H30" i="2"/>
  <c r="H22" i="2"/>
  <c r="D31" i="2"/>
  <c r="B9" i="11"/>
  <c r="H21" i="2"/>
  <c r="G20" i="2"/>
  <c r="C31" i="2"/>
  <c r="B8" i="11"/>
  <c r="H12" i="11"/>
  <c r="B7" i="11"/>
  <c r="H7" i="11"/>
  <c r="B10" i="11"/>
  <c r="H9" i="11"/>
  <c r="B12" i="11"/>
  <c r="C10" i="11"/>
  <c r="D10" i="11" s="1"/>
  <c r="H5" i="11"/>
  <c r="B13" i="11"/>
  <c r="I4" i="3"/>
  <c r="F12" i="11"/>
  <c r="H8" i="11"/>
  <c r="C5" i="11"/>
  <c r="D5" i="11" s="1"/>
  <c r="E5" i="11" s="1"/>
  <c r="K5" i="11" s="1"/>
  <c r="C8" i="11"/>
  <c r="D8" i="11" s="1"/>
  <c r="E8" i="11" s="1"/>
  <c r="H15" i="11"/>
  <c r="B11" i="11"/>
  <c r="C15" i="11"/>
  <c r="D15" i="11" s="1"/>
  <c r="E15" i="11" s="1"/>
  <c r="K15" i="11" s="1"/>
  <c r="F10" i="11"/>
  <c r="H14" i="11"/>
  <c r="H6" i="11"/>
  <c r="C14" i="11"/>
  <c r="D14" i="11" s="1"/>
  <c r="E14" i="11" s="1"/>
  <c r="F9" i="11"/>
  <c r="H13" i="11"/>
  <c r="B5" i="11"/>
  <c r="F8" i="11"/>
  <c r="C12" i="11"/>
  <c r="D12" i="11" s="1"/>
  <c r="E12" i="11" s="1"/>
  <c r="F15" i="11"/>
  <c r="F7" i="11"/>
  <c r="H11" i="11"/>
  <c r="B15" i="11"/>
  <c r="C11" i="11"/>
  <c r="D11" i="11" s="1"/>
  <c r="E11" i="11" s="1"/>
  <c r="F14" i="11"/>
  <c r="H10" i="11"/>
  <c r="B14" i="11"/>
  <c r="B6" i="11"/>
  <c r="I128" i="5"/>
  <c r="P128" i="5"/>
  <c r="I104" i="5"/>
  <c r="P104" i="5"/>
  <c r="I98" i="5"/>
  <c r="P98" i="5"/>
  <c r="I90" i="5"/>
  <c r="P90" i="5"/>
  <c r="I74" i="5"/>
  <c r="P74" i="5"/>
  <c r="I66" i="5"/>
  <c r="P66" i="5"/>
  <c r="I58" i="5"/>
  <c r="P58" i="5"/>
  <c r="I42" i="5"/>
  <c r="P42" i="5"/>
  <c r="I34" i="5"/>
  <c r="P34" i="5"/>
  <c r="I18" i="5"/>
  <c r="P18" i="5"/>
  <c r="I10" i="5"/>
  <c r="P10" i="5"/>
  <c r="I135" i="5"/>
  <c r="P135" i="5"/>
  <c r="I119" i="5"/>
  <c r="P119" i="5"/>
  <c r="I89" i="5"/>
  <c r="P89" i="5"/>
  <c r="I81" i="5"/>
  <c r="P81" i="5"/>
  <c r="I65" i="5"/>
  <c r="P65" i="5"/>
  <c r="I49" i="5"/>
  <c r="P49" i="5"/>
  <c r="I25" i="5"/>
  <c r="P25" i="5"/>
  <c r="I9" i="5"/>
  <c r="P9" i="5"/>
  <c r="I126" i="5"/>
  <c r="P126" i="5"/>
  <c r="I110" i="5"/>
  <c r="P110" i="5"/>
  <c r="I96" i="5"/>
  <c r="P96" i="5"/>
  <c r="I80" i="5"/>
  <c r="P80" i="5"/>
  <c r="I64" i="5"/>
  <c r="P64" i="5"/>
  <c r="I56" i="5"/>
  <c r="P56" i="5"/>
  <c r="I125" i="5"/>
  <c r="P125" i="5"/>
  <c r="I109" i="5"/>
  <c r="P109" i="5"/>
  <c r="I103" i="5"/>
  <c r="P103" i="5"/>
  <c r="I79" i="5"/>
  <c r="P79" i="5"/>
  <c r="I63" i="5"/>
  <c r="P63" i="5"/>
  <c r="I47" i="5"/>
  <c r="P47" i="5"/>
  <c r="I31" i="5"/>
  <c r="P31" i="5"/>
  <c r="I15" i="5"/>
  <c r="P15" i="5"/>
  <c r="I132" i="5"/>
  <c r="P132" i="5"/>
  <c r="I124" i="5"/>
  <c r="P124" i="5"/>
  <c r="I116" i="5"/>
  <c r="P116" i="5"/>
  <c r="I108" i="5"/>
  <c r="P108" i="5"/>
  <c r="I102" i="5"/>
  <c r="P102" i="5"/>
  <c r="I94" i="5"/>
  <c r="P94" i="5"/>
  <c r="I86" i="5"/>
  <c r="P86" i="5"/>
  <c r="I78" i="5"/>
  <c r="P78" i="5"/>
  <c r="I70" i="5"/>
  <c r="P70" i="5"/>
  <c r="I62" i="5"/>
  <c r="P62" i="5"/>
  <c r="I54" i="5"/>
  <c r="P54" i="5"/>
  <c r="I46" i="5"/>
  <c r="P46" i="5"/>
  <c r="I38" i="5"/>
  <c r="P38" i="5"/>
  <c r="I30" i="5"/>
  <c r="P30" i="5"/>
  <c r="I22" i="5"/>
  <c r="P22" i="5"/>
  <c r="I14" i="5"/>
  <c r="P14" i="5"/>
  <c r="P6" i="5"/>
  <c r="I127" i="5"/>
  <c r="P127" i="5"/>
  <c r="I111" i="5"/>
  <c r="P111" i="5"/>
  <c r="I97" i="5"/>
  <c r="P97" i="5"/>
  <c r="I73" i="5"/>
  <c r="P73" i="5"/>
  <c r="I57" i="5"/>
  <c r="P57" i="5"/>
  <c r="I41" i="5"/>
  <c r="P41" i="5"/>
  <c r="I33" i="5"/>
  <c r="P33" i="5"/>
  <c r="I17" i="5"/>
  <c r="P17" i="5"/>
  <c r="I134" i="5"/>
  <c r="P134" i="5"/>
  <c r="I118" i="5"/>
  <c r="P118" i="5"/>
  <c r="I88" i="5"/>
  <c r="P88" i="5"/>
  <c r="I72" i="5"/>
  <c r="P72" i="5"/>
  <c r="I48" i="5"/>
  <c r="P48" i="5"/>
  <c r="I40" i="5"/>
  <c r="P40" i="5"/>
  <c r="I133" i="5"/>
  <c r="P133" i="5"/>
  <c r="I117" i="5"/>
  <c r="P117" i="5"/>
  <c r="I95" i="5"/>
  <c r="P95" i="5"/>
  <c r="I87" i="5"/>
  <c r="P87" i="5"/>
  <c r="I71" i="5"/>
  <c r="P71" i="5"/>
  <c r="I55" i="5"/>
  <c r="P55" i="5"/>
  <c r="I39" i="5"/>
  <c r="P39" i="5"/>
  <c r="I23" i="5"/>
  <c r="P23" i="5"/>
  <c r="I7" i="5"/>
  <c r="P7" i="5"/>
  <c r="I131" i="5"/>
  <c r="P131" i="5"/>
  <c r="I123" i="5"/>
  <c r="P123" i="5"/>
  <c r="I115" i="5"/>
  <c r="P115" i="5"/>
  <c r="I107" i="5"/>
  <c r="P107" i="5"/>
  <c r="I101" i="5"/>
  <c r="P101" i="5"/>
  <c r="I93" i="5"/>
  <c r="P93" i="5"/>
  <c r="I85" i="5"/>
  <c r="P85" i="5"/>
  <c r="I77" i="5"/>
  <c r="P77" i="5"/>
  <c r="I69" i="5"/>
  <c r="P69" i="5"/>
  <c r="I61" i="5"/>
  <c r="P61" i="5"/>
  <c r="I53" i="5"/>
  <c r="P53" i="5"/>
  <c r="I45" i="5"/>
  <c r="P45" i="5"/>
  <c r="I37" i="5"/>
  <c r="P37" i="5"/>
  <c r="I3" i="5"/>
  <c r="P3" i="5"/>
  <c r="I120" i="5"/>
  <c r="P120" i="5"/>
  <c r="I112" i="5"/>
  <c r="P112" i="5"/>
  <c r="I82" i="5"/>
  <c r="P82" i="5"/>
  <c r="I50" i="5"/>
  <c r="P50" i="5"/>
  <c r="I26" i="5"/>
  <c r="P26" i="5"/>
  <c r="P130" i="5"/>
  <c r="I130" i="5"/>
  <c r="P122" i="5"/>
  <c r="I122" i="5"/>
  <c r="P114" i="5"/>
  <c r="I114" i="5"/>
  <c r="P106" i="5"/>
  <c r="I106" i="5"/>
  <c r="P100" i="5"/>
  <c r="I100" i="5"/>
  <c r="P92" i="5"/>
  <c r="I92" i="5"/>
  <c r="P84" i="5"/>
  <c r="I84" i="5"/>
  <c r="P76" i="5"/>
  <c r="I76" i="5"/>
  <c r="P68" i="5"/>
  <c r="I68" i="5"/>
  <c r="P60" i="5"/>
  <c r="I60" i="5"/>
  <c r="P52" i="5"/>
  <c r="I52" i="5"/>
  <c r="P44" i="5"/>
  <c r="I44" i="5"/>
  <c r="P36" i="5"/>
  <c r="I36" i="5"/>
  <c r="P28" i="5"/>
  <c r="I28" i="5"/>
  <c r="P20" i="5"/>
  <c r="I20" i="5"/>
  <c r="P12" i="5"/>
  <c r="I12" i="5"/>
  <c r="P4" i="5"/>
  <c r="I4" i="5"/>
  <c r="I129" i="5"/>
  <c r="P129" i="5"/>
  <c r="I121" i="5"/>
  <c r="P121" i="5"/>
  <c r="I113" i="5"/>
  <c r="P113" i="5"/>
  <c r="I105" i="5"/>
  <c r="P105" i="5"/>
  <c r="I99" i="5"/>
  <c r="P99" i="5"/>
  <c r="I91" i="5"/>
  <c r="P91" i="5"/>
  <c r="I83" i="5"/>
  <c r="P83" i="5"/>
  <c r="I75" i="5"/>
  <c r="P75" i="5"/>
  <c r="I67" i="5"/>
  <c r="P67" i="5"/>
  <c r="I59" i="5"/>
  <c r="P59" i="5"/>
  <c r="I51" i="5"/>
  <c r="P51" i="5"/>
  <c r="I43" i="5"/>
  <c r="P43" i="5"/>
  <c r="I35" i="5"/>
  <c r="P35" i="5"/>
  <c r="I27" i="5"/>
  <c r="P27" i="5"/>
  <c r="I19" i="5"/>
  <c r="P19" i="5"/>
  <c r="I11" i="5"/>
  <c r="P11" i="5"/>
  <c r="P32" i="5"/>
  <c r="P24" i="5"/>
  <c r="P16" i="5"/>
  <c r="P8" i="5"/>
  <c r="P29" i="5"/>
  <c r="P21" i="5"/>
  <c r="P13" i="5"/>
  <c r="P5" i="5"/>
  <c r="C7" i="11"/>
  <c r="D7" i="11" s="1"/>
  <c r="E7" i="11" s="1"/>
  <c r="K7" i="11" s="1"/>
  <c r="D14" i="2"/>
  <c r="E14" i="2" s="1"/>
  <c r="G14" i="2" s="1"/>
  <c r="C9" i="11"/>
  <c r="D9" i="11" s="1"/>
  <c r="E9" i="11" s="1"/>
  <c r="C6" i="11"/>
  <c r="D6" i="11" s="1"/>
  <c r="E6" i="11" s="1"/>
  <c r="K6" i="11" s="1"/>
  <c r="D13" i="2"/>
  <c r="E13" i="2" s="1"/>
  <c r="G13" i="2" s="1"/>
  <c r="D11" i="2"/>
  <c r="E11" i="2" s="1"/>
  <c r="I11" i="2" s="1"/>
  <c r="I5" i="2"/>
  <c r="C13" i="11"/>
  <c r="D13" i="11" s="1"/>
  <c r="E13" i="11" s="1"/>
  <c r="I7" i="2"/>
  <c r="I6" i="2"/>
  <c r="I12" i="2"/>
  <c r="I8" i="2"/>
  <c r="F13" i="11"/>
  <c r="F6" i="11"/>
  <c r="H15" i="2"/>
  <c r="H16" i="11" s="1"/>
  <c r="F15" i="2"/>
  <c r="F16" i="11" s="1"/>
  <c r="F5" i="11"/>
  <c r="D9" i="2"/>
  <c r="E9" i="2" s="1"/>
  <c r="I9" i="2" s="1"/>
  <c r="K8" i="2"/>
  <c r="G8" i="2"/>
  <c r="G6" i="2"/>
  <c r="K6" i="2"/>
  <c r="K5" i="2"/>
  <c r="G5" i="2"/>
  <c r="K12" i="2"/>
  <c r="G12" i="2"/>
  <c r="D10" i="2"/>
  <c r="E10" i="2" s="1"/>
  <c r="I10" i="2" s="1"/>
  <c r="G7" i="2"/>
  <c r="D4" i="11"/>
  <c r="E4" i="11" s="1"/>
  <c r="G4" i="11" s="1"/>
  <c r="D4" i="2"/>
  <c r="C15" i="2"/>
  <c r="C16" i="11" s="1"/>
  <c r="D16" i="11" s="1"/>
  <c r="E16" i="11" s="1"/>
  <c r="H17" i="3"/>
  <c r="F17" i="3"/>
  <c r="G14" i="3"/>
  <c r="I14" i="3"/>
  <c r="K14" i="3"/>
  <c r="K13" i="3"/>
  <c r="I13" i="3"/>
  <c r="G13" i="3"/>
  <c r="I9" i="3"/>
  <c r="K9" i="3"/>
  <c r="G9" i="3"/>
  <c r="E10" i="3"/>
  <c r="D16" i="3"/>
  <c r="E16" i="3" s="1"/>
  <c r="K16" i="3" s="1"/>
  <c r="D8" i="3"/>
  <c r="E8" i="3" s="1"/>
  <c r="E12" i="3"/>
  <c r="D15" i="3"/>
  <c r="E15" i="3" s="1"/>
  <c r="D7" i="3"/>
  <c r="E7" i="3" s="1"/>
  <c r="E11" i="3"/>
  <c r="E6" i="3"/>
  <c r="D5" i="3"/>
  <c r="E5" i="3" s="1"/>
  <c r="G5" i="3" s="1"/>
  <c r="C17" i="3"/>
  <c r="G4" i="3"/>
  <c r="P50" i="6"/>
  <c r="I50" i="6"/>
  <c r="I51" i="6"/>
  <c r="P51" i="6"/>
  <c r="P53" i="6"/>
  <c r="I53" i="6"/>
  <c r="P52" i="6"/>
  <c r="I52" i="6"/>
  <c r="P54" i="6"/>
  <c r="I54" i="6"/>
  <c r="I93" i="6"/>
  <c r="P15" i="6"/>
  <c r="P32" i="6"/>
  <c r="I72" i="6"/>
  <c r="P69" i="6"/>
  <c r="I35" i="6"/>
  <c r="P63" i="6"/>
  <c r="P26" i="6"/>
  <c r="I70" i="6"/>
  <c r="I33" i="6"/>
  <c r="P61" i="6"/>
  <c r="P24" i="6"/>
  <c r="I64" i="6"/>
  <c r="I27" i="6"/>
  <c r="P87" i="6"/>
  <c r="P55" i="6"/>
  <c r="P18" i="6"/>
  <c r="I62" i="6"/>
  <c r="I25" i="6"/>
  <c r="P85" i="6"/>
  <c r="P48" i="6"/>
  <c r="P16" i="6"/>
  <c r="I88" i="6"/>
  <c r="I56" i="6"/>
  <c r="I19" i="6"/>
  <c r="P79" i="6"/>
  <c r="P42" i="6"/>
  <c r="P10" i="6"/>
  <c r="I86" i="6"/>
  <c r="I49" i="6"/>
  <c r="I17" i="6"/>
  <c r="P77" i="6"/>
  <c r="P40" i="6"/>
  <c r="P8" i="6"/>
  <c r="I80" i="6"/>
  <c r="I43" i="6"/>
  <c r="I11" i="6"/>
  <c r="P71" i="6"/>
  <c r="P34" i="6"/>
  <c r="I78" i="6"/>
  <c r="I41" i="6"/>
  <c r="I9" i="6"/>
  <c r="P3" i="6"/>
  <c r="P4" i="6"/>
  <c r="P92" i="6"/>
  <c r="P84" i="6"/>
  <c r="P76" i="6"/>
  <c r="P68" i="6"/>
  <c r="P60" i="6"/>
  <c r="P47" i="6"/>
  <c r="P39" i="6"/>
  <c r="P31" i="6"/>
  <c r="P23" i="6"/>
  <c r="P7" i="6"/>
  <c r="P91" i="6"/>
  <c r="P83" i="6"/>
  <c r="P75" i="6"/>
  <c r="P67" i="6"/>
  <c r="P59" i="6"/>
  <c r="P46" i="6"/>
  <c r="P38" i="6"/>
  <c r="P30" i="6"/>
  <c r="P22" i="6"/>
  <c r="P14" i="6"/>
  <c r="P6" i="6"/>
  <c r="P90" i="6"/>
  <c r="P82" i="6"/>
  <c r="P74" i="6"/>
  <c r="P66" i="6"/>
  <c r="P58" i="6"/>
  <c r="P45" i="6"/>
  <c r="P37" i="6"/>
  <c r="P29" i="6"/>
  <c r="P21" i="6"/>
  <c r="P13" i="6"/>
  <c r="P5" i="6"/>
  <c r="P89" i="6"/>
  <c r="P81" i="6"/>
  <c r="P73" i="6"/>
  <c r="P65" i="6"/>
  <c r="P57" i="6"/>
  <c r="P44" i="6"/>
  <c r="P36" i="6"/>
  <c r="P28" i="6"/>
  <c r="P20" i="6"/>
  <c r="P12" i="6"/>
  <c r="H29" i="11" l="1"/>
  <c r="D36" i="11"/>
  <c r="H27" i="11"/>
  <c r="G24" i="11"/>
  <c r="H28" i="11"/>
  <c r="C36" i="11"/>
  <c r="H26" i="11"/>
  <c r="I11" i="11"/>
  <c r="G15" i="11"/>
  <c r="G11" i="11"/>
  <c r="K11" i="11"/>
  <c r="E10" i="11"/>
  <c r="K10" i="11" s="1"/>
  <c r="G12" i="11"/>
  <c r="G5" i="11"/>
  <c r="G14" i="11"/>
  <c r="I15" i="11"/>
  <c r="K12" i="11"/>
  <c r="I12" i="11"/>
  <c r="I13" i="2"/>
  <c r="G8" i="11"/>
  <c r="I14" i="11"/>
  <c r="K14" i="11"/>
  <c r="I9" i="11"/>
  <c r="I7" i="11"/>
  <c r="G9" i="11"/>
  <c r="K8" i="11"/>
  <c r="G7" i="11"/>
  <c r="I8" i="11"/>
  <c r="H17" i="11"/>
  <c r="G6" i="11"/>
  <c r="I14" i="2"/>
  <c r="K13" i="2"/>
  <c r="K9" i="11"/>
  <c r="K14" i="2"/>
  <c r="K11" i="2"/>
  <c r="G11" i="2"/>
  <c r="D15" i="2"/>
  <c r="I6" i="11"/>
  <c r="G9" i="2"/>
  <c r="K9" i="2"/>
  <c r="I5" i="11"/>
  <c r="F17" i="11"/>
  <c r="G16" i="11"/>
  <c r="G10" i="2"/>
  <c r="K10" i="2"/>
  <c r="C17" i="11"/>
  <c r="K16" i="11"/>
  <c r="I16" i="11"/>
  <c r="G13" i="11"/>
  <c r="K13" i="11"/>
  <c r="I13" i="11"/>
  <c r="K4" i="11"/>
  <c r="I4" i="11"/>
  <c r="D17" i="11"/>
  <c r="E4" i="2"/>
  <c r="I4" i="2" s="1"/>
  <c r="K15" i="3"/>
  <c r="G15" i="3"/>
  <c r="I15" i="3"/>
  <c r="K8" i="3"/>
  <c r="G8" i="3"/>
  <c r="I8" i="3"/>
  <c r="G10" i="3"/>
  <c r="I10" i="3"/>
  <c r="K10" i="3"/>
  <c r="K7" i="3"/>
  <c r="G7" i="3"/>
  <c r="I7" i="3"/>
  <c r="K11" i="3"/>
  <c r="G11" i="3"/>
  <c r="I11" i="3"/>
  <c r="D17" i="3"/>
  <c r="G16" i="3"/>
  <c r="I16" i="3"/>
  <c r="K12" i="3"/>
  <c r="G12" i="3"/>
  <c r="I12" i="3"/>
  <c r="G6" i="3"/>
  <c r="K6" i="3"/>
  <c r="I6" i="3"/>
  <c r="K4" i="3"/>
  <c r="K5" i="3"/>
  <c r="I5" i="3"/>
  <c r="E17" i="3"/>
  <c r="G10" i="11" l="1"/>
  <c r="I10" i="11"/>
  <c r="G17" i="11"/>
  <c r="E17" i="11"/>
  <c r="K4" i="2"/>
  <c r="G4" i="2"/>
  <c r="G15" i="2" s="1"/>
  <c r="E15" i="2"/>
  <c r="G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<sst xmlns="http://schemas.openxmlformats.org/spreadsheetml/2006/main" count="4938" uniqueCount="2043">
  <si>
    <t>HUELLA SOCIAL — COOPERATIVAS DE AHORRO Y CRÉDITO</t>
  </si>
  <si>
    <t>Cuenta Satélite del Sector Cooperativo Financiero Chileno</t>
  </si>
  <si>
    <t>CONTENIDO DEL ARCHIVO</t>
  </si>
  <si>
    <t>📊 1. Agregados DAES</t>
  </si>
  <si>
    <t>Totales anuales 2014–2024 del segmento no supervisado por CMF. Incluye P1, B1g, D1, B2g, Rem, PIB y Aporte (%).</t>
  </si>
  <si>
    <t>🏦 2. Agregados CMF</t>
  </si>
  <si>
    <t>Totales anuales 2014–2025 de las 7 CAC supervisadas por CMF. Incluye P1, B1g, Rem, activos, depósitos y colocaciones.</t>
  </si>
  <si>
    <t>📅 3. CMF Feb-2026</t>
  </si>
  <si>
    <t>Resultados acumulados enero–febrero 2026 de las 7 CAC CMF. Datos parciales (2 meses); incluye B1g anualizado y aporte referencial.</t>
  </si>
  <si>
    <t>📁 4. Panel DAES</t>
  </si>
  <si>
    <t>Una fila por cooperativa×año. Todas las entidades DAES con sus variables de cuenta de producción y balance.</t>
  </si>
  <si>
    <t>📁 5. Panel CMF</t>
  </si>
  <si>
    <t>Una fila por cooperativa×año. Historial completo 2014–2025 de las 7 CAC supervisadas.</t>
  </si>
  <si>
    <t>🗺️ 6. Registro CAC</t>
  </si>
  <si>
    <t>Metadatos del universo DAES: región, estado, datos SII y CMF.</t>
  </si>
  <si>
    <t>💹 7. PIB Referencia</t>
  </si>
  <si>
    <t>PIB Chile a precios corrientes, referencia 2018, Banco Central. Usado como denominador para calcular el aporte (%).</t>
  </si>
  <si>
    <t>⚙️  SUPUESTOS METODOLÓGICOS</t>
  </si>
  <si>
    <t>• α = 0,3776 → coeficiente consumo intermedio (P2/P1), MIP Chile 2018, sector 94 intermediación financiera.</t>
  </si>
  <si>
    <t>• DAES: P1 = Total Ingresos de Operación (CLP → MM$). P2 = α × P1. B1g = (1−α) × P1.</t>
  </si>
  <si>
    <t>• CMF histórico: P1 y B1g tomados directamente del panel (metodología propia por entidad; ver notas del archivo fuente).</t>
  </si>
  <si>
    <t>• PIB: Banco Central de Chile, Cuentas Nacionales Anuales, referencia 2018, precios corrientes (MM$).</t>
  </si>
  <si>
    <t>• Coopeuch aparece en DAES hasta 2016 (supervisada por SBIF). Desde 2017 figura en el panel CMF.</t>
  </si>
  <si>
    <t>CUENTA DE PRODUCCIÓN Y GENERACIÓN DEL INGRESO — SEGMENTO DAES (CAC no supervisadas por CMF)</t>
  </si>
  <si>
    <t>Cifras en millones de pesos corrientes (MM$).  P1 = Total Ingresos Operación  |  P2 = α×P1 (α=0,3776)  |  B1g = P1−P2  |  PIB: Banco Central, ref. 2018</t>
  </si>
  <si>
    <t>Año</t>
  </si>
  <si>
    <t>N</t>
  </si>
  <si>
    <t>P1 (MM$)</t>
  </si>
  <si>
    <t>P2 (MM$)</t>
  </si>
  <si>
    <t>B1g (MM$)</t>
  </si>
  <si>
    <t>D1 (MM$)</t>
  </si>
  <si>
    <t>B2g (MM$)</t>
  </si>
  <si>
    <t>Rem (MM$)</t>
  </si>
  <si>
    <t>D1/B1g</t>
  </si>
  <si>
    <t>PIB Chile (MM$)</t>
  </si>
  <si>
    <t>Aporte (%)</t>
  </si>
  <si>
    <t>TOTAL PERÍODO</t>
  </si>
  <si>
    <t>—</t>
  </si>
  <si>
    <t>CUENTA FINANCIERA — BALANCE GENERAL</t>
  </si>
  <si>
    <t>F2 = Depósitos captados (vista + plazo)  |  F4 = Colocaciones netas (total − provisiones)</t>
  </si>
  <si>
    <t>Activos (MM$)</t>
  </si>
  <si>
    <t>Patrimonio (MM$)</t>
  </si>
  <si>
    <t>F2 Depósitos (MM$)</t>
  </si>
  <si>
    <t>F4 Colocaciones (MM$)</t>
  </si>
  <si>
    <t>F4/Activos</t>
  </si>
  <si>
    <t>F2/Activos</t>
  </si>
  <si>
    <t>P2 = α×P1 (α=0,3776)  |  B1g = P1−P2  |  PIB: Banco Central ref. 2018</t>
  </si>
  <si>
    <t>Entidad</t>
  </si>
  <si>
    <t>RUT</t>
  </si>
  <si>
    <t>81836800-3</t>
  </si>
  <si>
    <t>84156800-1</t>
  </si>
  <si>
    <t>70015260-K</t>
  </si>
  <si>
    <t>82878900-7</t>
  </si>
  <si>
    <t>70017860-9</t>
  </si>
  <si>
    <t>70286300-7</t>
  </si>
  <si>
    <t>70010920-8</t>
  </si>
  <si>
    <t>PANEL DE DATOS — UNA FILA POR COOPERATIVA × AÑO</t>
  </si>
  <si>
    <t>Segmento</t>
  </si>
  <si>
    <t>F2 (MM$)</t>
  </si>
  <si>
    <t>F4 (MM$)</t>
  </si>
  <si>
    <t>PIB_MM</t>
  </si>
  <si>
    <t>DAES</t>
  </si>
  <si>
    <t>Cooperativa de Ahorro y Crédito Mujercoop</t>
  </si>
  <si>
    <t>70689800-K</t>
  </si>
  <si>
    <t>Cooperativa de Ahorro y Crédito Solidaridad /</t>
  </si>
  <si>
    <t>65085321-0</t>
  </si>
  <si>
    <t>Cooperativa de Ahorro y Crédito Endógena Mapu</t>
  </si>
  <si>
    <t>65111485-3</t>
  </si>
  <si>
    <t>Cooperativa de Ahorro y Crédito Lautaro Rosas</t>
  </si>
  <si>
    <t>Cooperativa de Ahorro y Crédito Libercoop Lim</t>
  </si>
  <si>
    <t>83380000-0</t>
  </si>
  <si>
    <t>Stella Maris</t>
  </si>
  <si>
    <t>81806100-5</t>
  </si>
  <si>
    <t>Temucoop</t>
  </si>
  <si>
    <t>85726600-5</t>
  </si>
  <si>
    <t xml:space="preserve">Cooperativa de Ahorro y Crédito Ahorro Maule </t>
  </si>
  <si>
    <t>83908800-0</t>
  </si>
  <si>
    <t>Cooperativa de Ahorro y Crédito Financiera Ag</t>
  </si>
  <si>
    <t>76177376-3</t>
  </si>
  <si>
    <t>Cooperativa de Ahorro y Crédito Limarí Limita</t>
  </si>
  <si>
    <t>76005094-6</t>
  </si>
  <si>
    <t>Cooperativa de Ahorro y Crédito Dreves Limita</t>
  </si>
  <si>
    <t>83990500-9</t>
  </si>
  <si>
    <t xml:space="preserve">Cooperativa de Ahorro y Crédito Norte Grande </t>
  </si>
  <si>
    <t>81863900-7</t>
  </si>
  <si>
    <t>Cooperativa de Ahorro y Crédito Parinacoop Lt</t>
  </si>
  <si>
    <t>65443640-1</t>
  </si>
  <si>
    <t>Cooperativa de Ahorro y Crédito Planea</t>
  </si>
  <si>
    <t>65121042-9</t>
  </si>
  <si>
    <t>Cooperativa de Ahorro y Crédito Talcahuano Lt</t>
  </si>
  <si>
    <t>70013720-1</t>
  </si>
  <si>
    <t>Cooperativa de Ahorro y Crédito de Educadores</t>
  </si>
  <si>
    <t>70350700-K</t>
  </si>
  <si>
    <t>Cooperativa Macul Limitada</t>
  </si>
  <si>
    <t>70777900-4</t>
  </si>
  <si>
    <t>Cooperativa Unión y Patria</t>
  </si>
  <si>
    <t>82835000-5</t>
  </si>
  <si>
    <t>Cooperativa de Ahorro y Crédito Valles de Chi</t>
  </si>
  <si>
    <t>65624290-6</t>
  </si>
  <si>
    <t>Cooperlacar Ltda.</t>
  </si>
  <si>
    <t>81189600-4</t>
  </si>
  <si>
    <t>Cooperativa de Ahorro y Crédito Bansur</t>
  </si>
  <si>
    <t>65002821-K</t>
  </si>
  <si>
    <t>Cooperativa de Ahorro y Crédito Isla de Maipo</t>
  </si>
  <si>
    <t>70000770-7</t>
  </si>
  <si>
    <t>Sociedad Cooperativa de Ahorro y Crédito Somn</t>
  </si>
  <si>
    <t>70005180-3</t>
  </si>
  <si>
    <t>Andescoop Ltda.</t>
  </si>
  <si>
    <t>70009770-6</t>
  </si>
  <si>
    <t>Cooperativa de Ahorro y Crédito Araucaniacoop</t>
  </si>
  <si>
    <t>76489600-9</t>
  </si>
  <si>
    <t>Cooperativa de Ahorro y Crédito Cajanova</t>
  </si>
  <si>
    <t>65461730-9</t>
  </si>
  <si>
    <t>Cooperativa de Ahorro y Crédito para el Desar</t>
  </si>
  <si>
    <t>65677500-9</t>
  </si>
  <si>
    <t>Mantención CAP</t>
  </si>
  <si>
    <t>70343800-8</t>
  </si>
  <si>
    <t>Cooperativa de Ahorro y Crédito Bancrece</t>
  </si>
  <si>
    <t>65144029-7</t>
  </si>
  <si>
    <t>Cooperativa de Ahorro y Crédito Sanfecoop</t>
  </si>
  <si>
    <t>70017510-3</t>
  </si>
  <si>
    <t>Cooperativa de Ahorro y Crédito O'Higgins Ltd</t>
  </si>
  <si>
    <t>84150700-2</t>
  </si>
  <si>
    <t>Coop. de Ahorro, Crédito y Servicios Financie</t>
  </si>
  <si>
    <t>85303300-6</t>
  </si>
  <si>
    <t>Cooperativa de Ahorro y Crédito Coosagro Ltda</t>
  </si>
  <si>
    <t>70022600-K</t>
  </si>
  <si>
    <t>Cooperativa de Ahorro y Crédito Santa Inés Lt</t>
  </si>
  <si>
    <t>70018610-5</t>
  </si>
  <si>
    <t>CMF</t>
  </si>
  <si>
    <t>AHORROCOOP</t>
  </si>
  <si>
    <t>70.014.500-0</t>
  </si>
  <si>
    <t>CAPUAL</t>
  </si>
  <si>
    <t>70.013.730-9</t>
  </si>
  <si>
    <t>CONFIA Ltda.</t>
  </si>
  <si>
    <t>70.032.300-0</t>
  </si>
  <si>
    <t>Coocretal</t>
  </si>
  <si>
    <t>70.011.650-5</t>
  </si>
  <si>
    <t>Coopeuch Ltda.</t>
  </si>
  <si>
    <t>88.541.400-1</t>
  </si>
  <si>
    <t>Detacoop Ltda.</t>
  </si>
  <si>
    <t>70.016.460-7</t>
  </si>
  <si>
    <t>Oriencoop Ltda.</t>
  </si>
  <si>
    <t>70.017.640-3</t>
  </si>
  <si>
    <t>REGISTRO UNIVERSO CAC — FUENTE: DAES + SII + CMF</t>
  </si>
  <si>
    <t>Razón Social</t>
  </si>
  <si>
    <t>Región</t>
  </si>
  <si>
    <t>Estado</t>
  </si>
  <si>
    <t>Trabajadores SII</t>
  </si>
  <si>
    <t>Tramo Ventas SII</t>
  </si>
  <si>
    <t>Empleados CMF</t>
  </si>
  <si>
    <t>Oficinas CMF</t>
  </si>
  <si>
    <t>82355700-0</t>
  </si>
  <si>
    <t>COOPERATIVA AGRICOLA PROFESOR JUAN NOE CREVANI LTDA.</t>
  </si>
  <si>
    <t>REGIÓN DE ARICA Y PARINACOTA</t>
  </si>
  <si>
    <t>Vigente</t>
  </si>
  <si>
    <t>81569600-K</t>
  </si>
  <si>
    <t>FEDERACION NACIONAL DE COOPERATIVAS ELECTRICAS LTDA. FENACOPEL LTDA.</t>
  </si>
  <si>
    <t>REGIÓN METROPOLITANA</t>
  </si>
  <si>
    <t>70000760-K</t>
  </si>
  <si>
    <t>COOPERATIVA DE VIVIENDA Y SERVICIOS HABITACIONALES SIGLO VEINTE LTDA.</t>
  </si>
  <si>
    <t>COOPERATIVA DE AHORRO Y CREDITO UNION Y PATRIA LIMITADA</t>
  </si>
  <si>
    <t>70018260-6</t>
  </si>
  <si>
    <t>COOPERATIVA DE INVERSIONES ELECTROCOOP TEMUCO LIMITADA</t>
  </si>
  <si>
    <t>REGIÓN DE LA ARAUCANÍA</t>
  </si>
  <si>
    <t>81935800-1</t>
  </si>
  <si>
    <t>COOPERATIVA CAMPESINA CHOL CHOL LTDA.</t>
  </si>
  <si>
    <t>82424000-0</t>
  </si>
  <si>
    <t>INSTITUTO CHILENO DE EDUCACION COOPERATIVA</t>
  </si>
  <si>
    <t>70625000-K</t>
  </si>
  <si>
    <t>COOPERATIVA DE VIVIENDA Y SERVICIOS HABITACIONALES COLINA DE ORO LIMITADA</t>
  </si>
  <si>
    <t>REGIÓN DE VALPARAISO</t>
  </si>
  <si>
    <t>70002770-8</t>
  </si>
  <si>
    <t>COOPERATIVA DE SERVICIO Y PRESTAMO IDIEM UNIVERSIDAD DE CHILE LTDA</t>
  </si>
  <si>
    <t>COOPERATIVA DE AHORRO Y CREDITO MACUL LTDA.</t>
  </si>
  <si>
    <t>70487300-K</t>
  </si>
  <si>
    <t>COOPERATIVA AGRICOLA AGRUPACION DE PEQUEÑOS CHACAREROS DE CHILE LIMITADA</t>
  </si>
  <si>
    <t>COOPERATIVA DE AHORRO Y CRÉDITO DREVES LIMITADA</t>
  </si>
  <si>
    <t>82877300-3</t>
  </si>
  <si>
    <t>COOPERATIVA DE SERVICIOS Y TRANSPORTES EXPRESOS VIÑA DEL MAR LTDA.</t>
  </si>
  <si>
    <t>COOPERATIVA DE AHORRO Y CREDITO NACIONAL PARA LA FAMILIA LIMITADA</t>
  </si>
  <si>
    <t>70019910-K</t>
  </si>
  <si>
    <t>COOPERATIVA CAMPESINA SAN NICOLAS DE HIJUELAS LTDA.</t>
  </si>
  <si>
    <t>70905600-K</t>
  </si>
  <si>
    <t>COOPERATIVA DE SERVICIOS DE PRESTAMOS SOLIDARIOS LORENZO ARENAS LTDA.</t>
  </si>
  <si>
    <t>REGIÓN DEL BÍO-BÍO</t>
  </si>
  <si>
    <t>70704000-9</t>
  </si>
  <si>
    <t>COOPERATIVA CAMPESINA CHILLAN VIEJO LIMITADA</t>
  </si>
  <si>
    <t>REGIÓN DE ÑUBLE</t>
  </si>
  <si>
    <t>COOPERATIVA DE AHORRO, CREDITO Y SERVICIOS FINANCIEROS AHORROCOOP DIEGO PORTALES LIMITADA.</t>
  </si>
  <si>
    <t>82706600-1</t>
  </si>
  <si>
    <t>SOCIEDAD COOPERATIVA PORTEÑA DE CONSUMOS Y SERVICIOS LIMITADA</t>
  </si>
  <si>
    <t>70816600-6</t>
  </si>
  <si>
    <t>COOPERATIVA DE AHORRO Y CREDITO SUBOFICIAL MAYOR DE CARABINEROS R ERNESTO LAVANDEROS CARRILLO LIMITADA</t>
  </si>
  <si>
    <t>82000200-8</t>
  </si>
  <si>
    <t>COOPERATIVA AGRICOLA Y LECHERA BIOBIO LTDA.</t>
  </si>
  <si>
    <t>81805700-8</t>
  </si>
  <si>
    <t>COOPERATIVA AGRICOLA CONTROL PISQUERO DE ELQUI Y LIMARI LIMITADA</t>
  </si>
  <si>
    <t>REGIÓN DE COQUIMBO</t>
  </si>
  <si>
    <t>70543100-0</t>
  </si>
  <si>
    <t>COOPERATIVA DE SERVICIOS LIBERACION</t>
  </si>
  <si>
    <t>81242500-5</t>
  </si>
  <si>
    <t>COOPERATIVA DE CONSUMOS CARABINEROS DE CHILE LIMITADA</t>
  </si>
  <si>
    <t>70405200-6</t>
  </si>
  <si>
    <t>COOPERATIVA DE AGUA POTABLE ALCANTARILLADO Y SANEAMIENTO AMBIENTAL DE LA COMUNA DE SAN FABIÁN LIMITADA</t>
  </si>
  <si>
    <t>76493461-k</t>
  </si>
  <si>
    <t>COOPERATIVA CAMPESINA CUNCUMEN LTDA.</t>
  </si>
  <si>
    <t>82021300-9</t>
  </si>
  <si>
    <t>COOPERATIVA CAMPESINA FAJA MAISAN LTDA.</t>
  </si>
  <si>
    <t>84666200-6</t>
  </si>
  <si>
    <t>COOPERATIVA DE SERVICIO SANITARIO RURAL AGUA POTABLE, Y ALCANTARILLADO ARTIFICIO DE CABILDO LTDA</t>
  </si>
  <si>
    <t>81209700-8</t>
  </si>
  <si>
    <t>COOPERATIVA AGRICOLA Y LECHERA FRUTILLAR LIMITADA</t>
  </si>
  <si>
    <t>REGIÓN DE LOS LAGOS</t>
  </si>
  <si>
    <t>70227100-2</t>
  </si>
  <si>
    <t>COOPERATIVA DE SERVICIO DE AGUA POTABLE, ALCANTARILLADO Y SANEAMIENTO AMBIENTAL RAU LTDA</t>
  </si>
  <si>
    <t>REGIÓN DEL MAULE</t>
  </si>
  <si>
    <t>84937500-8</t>
  </si>
  <si>
    <t>COOPERATIVA DE SERVICIO SANITARIO RURAL SAN</t>
  </si>
  <si>
    <t>70227300-5</t>
  </si>
  <si>
    <t>COOPERATIVA DE SERVICIOS DE AGUA POTABLE Y ALCANTARILLADO ABRANQUIL-PUIPUYÉN LIMITADA</t>
  </si>
  <si>
    <t>84797600-4</t>
  </si>
  <si>
    <t>COOPERATIVA DE SERVICIO DE ABASTECIMIENTO DE AGUA POTABLE Y SANEAMIENTO AMBIENTAL DE LA COMUNIDAD DE COPIHUE LTDA.</t>
  </si>
  <si>
    <t>70360500-1</t>
  </si>
  <si>
    <t>COOPERATIVA DE SERVICIO SANITARIO RURAL MARCHIGÜE LIMITADA</t>
  </si>
  <si>
    <t>REGIÓN DEL LIBERTADOR GENERAL BERNARDO O HIGGINS</t>
  </si>
  <si>
    <t>70288200-1</t>
  </si>
  <si>
    <t>COOPERATIVA DE SERVICIOS DE ABASTECIMIENTO Y DISTRIBUCIÓN DE AGUA POTABLE, ALCANTARILLADO Y SANEAMIENTO AMBIENTAL ESTACIÓN COLINA LIMITADA</t>
  </si>
  <si>
    <t>70399800-3</t>
  </si>
  <si>
    <t>COOPERATIVA DE SERVICIO DE ABASTECIMIENTO DE AGUA POTABLE Y SANEAMIENTO AMBIENTAL DE LA COMUNIDAD DE RUCAPEQUEN LTDA.</t>
  </si>
  <si>
    <t>82289800-9</t>
  </si>
  <si>
    <t>COOPERATIVA AGRÍCOLA JOSÉ MAZA DE LA PINTANA LIMITADA</t>
  </si>
  <si>
    <t>70969900-8</t>
  </si>
  <si>
    <t>COOPERATIVA DE SERVICIO DE AGUA POTABLE LO ZÁRATE LTDA.</t>
  </si>
  <si>
    <t>71249300-3</t>
  </si>
  <si>
    <t>COOPERATIVA DE SERVICIO DE ABASTECIMIENTO DE AGUA POTABLE Y SANEAMIENTO AMBIENTAL DE LA COMUNIDAD DE POLCURA LTDA.</t>
  </si>
  <si>
    <t>70485400-5</t>
  </si>
  <si>
    <t>COOPERATIVA DE SERVICIOS DE AGUA POTABLE Y SANEAMIENTO AMBIENTAL EL GRANIZO LIMITADA</t>
  </si>
  <si>
    <t>70381500-6</t>
  </si>
  <si>
    <t>COOPERATIVA DE SERVICIO DE ABASTECIMIENTO DE AGUA POTABLE Y SANEAMIENTO AMBIENTAL DE LA COMUNIDAD DE AJIAL LTDA.</t>
  </si>
  <si>
    <t>70477400-1</t>
  </si>
  <si>
    <t>COOPERATIVA DE AGUA POTABLE ALCANTARILLADO Y SANEAMIENTO AMBIENTAL DE RECINTO LIMITADA</t>
  </si>
  <si>
    <t>85144000-3</t>
  </si>
  <si>
    <t>COOPERATIVA DE SERVICIO DE AGUA POTABLE DE BOCO NORTE LTDA.</t>
  </si>
  <si>
    <t>82635700-2</t>
  </si>
  <si>
    <t>COOPERATIVA AGRICOLA PURRANQUE LIMITADA</t>
  </si>
  <si>
    <t>70451000-4</t>
  </si>
  <si>
    <t>COOPERATIVA DE SERVICIOS DE ABASTECIMIENTO DE AGUA POTABLE Y SANEAMIENTO AMBIENTAL GUACARHUE LTDA.</t>
  </si>
  <si>
    <t>84794900-7</t>
  </si>
  <si>
    <t>COOPERATIVA DE SERVICIO SANITARIO, AGUA POTABLE Y ALCANTARILLADO LAS CABRAS</t>
  </si>
  <si>
    <t>84850300-2</t>
  </si>
  <si>
    <t>COOPERATIVA DE ABASTECIMIENTO DE AGUA POTABLE Y ALCANTARILLADO DE LA COMUNA DE SAGRADA FAMILIA LIMITADA</t>
  </si>
  <si>
    <t>82002200-9</t>
  </si>
  <si>
    <t>COOPERATIVA AGRICOLA REMOLACHERA ÑUBLE CAR LTDA.</t>
  </si>
  <si>
    <t>70240800-8</t>
  </si>
  <si>
    <t>COOPERATIVA DE SERVICIOS SANITARIOS COLIN</t>
  </si>
  <si>
    <t>70227800-7</t>
  </si>
  <si>
    <t>COOPERATIVA DE SERVICIO DE AGUA POTABLE DE LAGUNA VERDE LIMITADA</t>
  </si>
  <si>
    <t>70453900-2</t>
  </si>
  <si>
    <t>COOPERATIVA DE SERVICIO DE ABASTECIMIENTO Y DISTRIBUCION DE AGUA POTABLE, ALCANTARILLADO Y SANEAMIENTO AMBIENTAL DE LA COMUNIDAD DE TUTUQUÉN LIMITADA</t>
  </si>
  <si>
    <t>70453200-8</t>
  </si>
  <si>
    <t>COOPERATIVA DE AGUA POTABLE Y ALCANTARILLADO DE HIERRO VIEJO</t>
  </si>
  <si>
    <t>70396200-9</t>
  </si>
  <si>
    <t>COOPERATIVA DE SERVICIO DE ABASTECIMIENTO Y DISTRIBUCION DE AGUA POTABLE ALCANTARILLADO Y SERVICIOS VARIOS PALMILLA LIMITADA</t>
  </si>
  <si>
    <t>70731800-7</t>
  </si>
  <si>
    <t>COOPERATIVA DE SERVICIO DE AGUA POTABLE DE VENTANAS LTDA.</t>
  </si>
  <si>
    <t>71316800-9</t>
  </si>
  <si>
    <t>COOPERATIVA AGRICOLA RIO MAIPO LTDA.</t>
  </si>
  <si>
    <t>81593800-3</t>
  </si>
  <si>
    <t>COOPERATIVA AGRICOLA Y LECHERA DE CASABLANCA LIMITADA</t>
  </si>
  <si>
    <t>70420200-8</t>
  </si>
  <si>
    <t>COOPERATIVA DE SERVICIO DE AGUA POTABLE DE CACHAPOAL LTDA.</t>
  </si>
  <si>
    <t>81865100-7</t>
  </si>
  <si>
    <t>COOPERATIVA AGROPECUARIA CURACAUTIN LIMITADA</t>
  </si>
  <si>
    <t>COOPERATIVA DE AHORRO Y CREDITO COOSAGRO LIMITADA</t>
  </si>
  <si>
    <t>70502400-6</t>
  </si>
  <si>
    <t>COOPERATIVA DE SERVICIO DE ABASTECIMIENTO Y DISTRIBUCION DE AGUA POTABLE Y SANEAMIENTO AMBIENTAL TRUPAN LTDA.</t>
  </si>
  <si>
    <t>70369900-6</t>
  </si>
  <si>
    <t>COOPERATIVA DE SERVICIO DE AGUA POTABLE DE QUIRIQUINA LTDA.</t>
  </si>
  <si>
    <t>70292200-3</t>
  </si>
  <si>
    <t>COOPERATIVA DE SERVICIO DE AGUA POTABLE DE VILLA ILLINOIS LTDA.</t>
  </si>
  <si>
    <t>81750400-0</t>
  </si>
  <si>
    <t>COOPERATIVA DE SERVICIOS VILLA DE VIDA NATURAL MANUEL LEZAETA ACHARAN LIMITADA</t>
  </si>
  <si>
    <t>70693600-9</t>
  </si>
  <si>
    <t>COOPERATIVA DE SERVICIO DE ABASTECIMIENTO DE AGUA POTABLE Y SANEAMIENTO AMBIENTAL DE LA COMUNIDAD DE MONTENEGRO LTDA.</t>
  </si>
  <si>
    <t>84794700-4</t>
  </si>
  <si>
    <t>COOPERATIVA DE SERVICIO DE ABASTECIMIENTO Y DISTRIBUCION DE AGUA POTABLE, ALCANTARILLADO Y SANEAMIENTO AMBIENTAL DE LA COMUNIDAD DE LA HUERTA LIMITADA</t>
  </si>
  <si>
    <t>70398900-4</t>
  </si>
  <si>
    <t>COOPERATIVA DE SERVICIO DE AGUA POTABLE DE EL ROSAL LTDA.</t>
  </si>
  <si>
    <t>84801200-9</t>
  </si>
  <si>
    <t>COOPERATIVA DE SERVICIO DE AGUA POTABLE DE LA COMUNIDAD DE LO GAMBOA LTDA.</t>
  </si>
  <si>
    <t>85078400-0</t>
  </si>
  <si>
    <t>COOPERATIVA DE SERVICIOS DE AGUA POTABLE DE MARIA PINTO LIMITADA</t>
  </si>
  <si>
    <t>70486200-8</t>
  </si>
  <si>
    <t>COOPERATIVA DE SERVICIO DE ABASTECIMIENTO Y DISTRIBUCIÓN DE AGUA POTABLE, ALCANTARILLADO Y SANEAMIENTO AMBIENTAL NIRIVILO LIMITADA</t>
  </si>
  <si>
    <t>70339100-1</t>
  </si>
  <si>
    <t>COOPERATIVA DE SERVICIO DE ABASTECIMIENTO DE AGUA POTABLE Y SANEAMIENTO AMBIENTAL DE COMUNIDAD DE PANGAL DEL LAJA LTDA.</t>
  </si>
  <si>
    <t>70000310-8</t>
  </si>
  <si>
    <t>COOPERATIVA DE PESCADORES ARTESANALES DE LOS VILOS LIMITADA</t>
  </si>
  <si>
    <t>84801000-6</t>
  </si>
  <si>
    <t>COOPERATIVA DE SERVICIOS DE ABASTECIMIENTO Y DISTRIBUCION DE AGUA POTABLE ALCANTARILLADO Y SANEAMIENTO AMBIENTAL DE LA COMUNIDAD DE CORINTO LTDA.</t>
  </si>
  <si>
    <t>70396300-5</t>
  </si>
  <si>
    <t>COOPERATIVA DE SERVICIO DE AGUA POTABLE DE SAN MIGUEL LTDA.</t>
  </si>
  <si>
    <t>70477100-2</t>
  </si>
  <si>
    <t>COOPERATIVA DE SERVICIOS DE AGUA POTABLE Y ALCANTARILLADO BOBADILLA LIMITADA</t>
  </si>
  <si>
    <t>70361300-4</t>
  </si>
  <si>
    <t>COOPERATIVA DE SERVICIO DE AGUA POTABLE Y ALCANTARILLADO VILLA PRAT LTDA.</t>
  </si>
  <si>
    <t>81388600-6</t>
  </si>
  <si>
    <t>COOPERATIVA RURAL ELECTRICA RIO BUENO LIMITADA</t>
  </si>
  <si>
    <t>REGIÓN DE LOS RÍOS</t>
  </si>
  <si>
    <t>70397300-0</t>
  </si>
  <si>
    <t>COOPERATIVA DE SERVICIOS SANITARIOS RURAL, AGUA POTABLE Y ALCANTARILLADO DE PEDEGUA LIMITADA</t>
  </si>
  <si>
    <t>70370100-0</t>
  </si>
  <si>
    <t>COOPERATIVA DE SERVICIO DE AGUA POTABLE DE CATILLO LTDA.</t>
  </si>
  <si>
    <t>70343900-4</t>
  </si>
  <si>
    <t>COOPERATIVA DE AGUA POTABLE, ALCANTARILLADO Y SANEAMIENTO AMBIENTAL SAN GREGORIO LIMITADA</t>
  </si>
  <si>
    <t>70375900-9</t>
  </si>
  <si>
    <t>COOPERATIVA DE SERVICIOS MEDICOS SERMECOOP LTDA.</t>
  </si>
  <si>
    <t>84850800-4</t>
  </si>
  <si>
    <t>COOPERATIVA DE SERVICIO DE AGUA POTABLE DE LA CHIRIPA LTDA.</t>
  </si>
  <si>
    <t>71283200-2</t>
  </si>
  <si>
    <t>COOPERATIVA DE SERVICIO DE ABASTECIMIENTO DE AGUA POTABLE, ALCANTARILLADO Y SANEAMIENTO AMBIENTAL RASTROJOS LIMITADA</t>
  </si>
  <si>
    <t>COOPERATIVA DE AHORRO Y CREDITO COOPEUCH</t>
  </si>
  <si>
    <t>81094100-6</t>
  </si>
  <si>
    <t>COOPERATIVA AGRICOLA Y LECHERA DE LA UNION LIMITADA</t>
  </si>
  <si>
    <t>65098715-2</t>
  </si>
  <si>
    <t>COOPERATIVA AGRICOLA DE COLONIZACION LA RINCONADA</t>
  </si>
  <si>
    <t>SOCIEDAD COOPERATIVA DE AHORRO Y CREDITO MAULE</t>
  </si>
  <si>
    <t>82787300-4</t>
  </si>
  <si>
    <t>COOPERATIVA AGRICOLA E INDUSTRIALIZADORA DE CERDOS RELONCAVI LTDA.</t>
  </si>
  <si>
    <t>70006870-6</t>
  </si>
  <si>
    <t>COOPERATIVA DE SERVICIOS DE VERANEO LONQUIMAY LTDA.</t>
  </si>
  <si>
    <t>70482300-2</t>
  </si>
  <si>
    <t>COOPERATIVA DE SERVICIOS DE ABASTECIMIENTO Y DISTRIBUCIÓN DE AGUA POTABLE, ALCANTARILLADO Y SANEAMIENTO AMBIENTAL EL RULO MILLAHUE LIMITADA</t>
  </si>
  <si>
    <t>82262700-5</t>
  </si>
  <si>
    <t>COOPERATIVA AGRICOLA DE PRODUCTORES DE BIO BIO LIMITADA</t>
  </si>
  <si>
    <t>82101500-6</t>
  </si>
  <si>
    <t>COOPERATIVA CAMPESINA EL CORAZON LIMITADA</t>
  </si>
  <si>
    <t>84665900-5</t>
  </si>
  <si>
    <t>COOPERATIVA DE SERVICIO DE ABASTECIMIENTO Y DISTRIBUCION DE AGUA POTABLE, ALCANTARILLADO Y SANEAMIENTO AMBIENTAL LA PUNTILLA PUEBLO DE INDIOS LIMITADA.</t>
  </si>
  <si>
    <t>81915900-9</t>
  </si>
  <si>
    <t>COOPERATIVA DE SERVICIOS DE DUEÑOS DE AUTOBUSES DE CAUTIN LIMITADA</t>
  </si>
  <si>
    <t>84526700-6</t>
  </si>
  <si>
    <t>COOPERATIVA DE SERVICIO DE ABASTECIMIENTO Y DISTRIBUCION DE AGUA POTABLE ALCANTARILLADO Y SANEAMIENTO AMBIENTAL DE RAPEL LTDA.</t>
  </si>
  <si>
    <t>85349100-4</t>
  </si>
  <si>
    <t>COOPERATIVA CAMPESINA TULAHUEN LTDA.</t>
  </si>
  <si>
    <t>82002100-2</t>
  </si>
  <si>
    <t>COOPERATIVA AGROPECUARIA ESPECIAL PEDRO AGUIRRE CERDA</t>
  </si>
  <si>
    <t>84794500-1</t>
  </si>
  <si>
    <t>COOPERATIVA DE SERVICIOS DE AGUA POTABLE DE EL COBRE COLONIA AGRÍCOLA LTDA.</t>
  </si>
  <si>
    <t>70395300-K</t>
  </si>
  <si>
    <t>COOPERATIVA DE SERVICIO SANITARIO RURAL CUESTA LO GONZALEZ LIMITADA</t>
  </si>
  <si>
    <t>84850900-0</t>
  </si>
  <si>
    <t>COOPERATIVA DE SERVICIOS DE AGUA POTABLE DE MIRAFLORES LTDA.</t>
  </si>
  <si>
    <t>70448700-2</t>
  </si>
  <si>
    <t>COOPERATIVA DE SERVICIOS DE AGUA POTABLE DE COPEQUEN LTDA.</t>
  </si>
  <si>
    <t>85014400-1</t>
  </si>
  <si>
    <t>COOPERATIVA DE SERVICIO DE ABASTECIMIENTO Y DISTRIBUCION DE AGUA POTABLE, ALCANTARILLADO Y SANEAMIENTO AMBIENTAL CORCOLEN LIMITADA</t>
  </si>
  <si>
    <t>70452000-K</t>
  </si>
  <si>
    <t>COOPERATIVA DE SERVICIO DE AGUA POTABLE DE RARI LTDA.</t>
  </si>
  <si>
    <t>71109300-1</t>
  </si>
  <si>
    <t>COOPERATIVA DE AGUA POTABLE ALCANTARILLADO Y SANEAMIENTO AMBIENTAL LOS LLEUQUES LIMITADA</t>
  </si>
  <si>
    <t>73149300-8</t>
  </si>
  <si>
    <t>COOPERATIVA DE SERVICIO DE ABASTECIMIENTO Y DISTRIBUCION DE AGUA POTABLE ALCANTARILLADO Y SANEAMIENTO AMBIENTAL JOHN KENNEDY LIMITADA DE CATAPILCO</t>
  </si>
  <si>
    <t>70369700-3</t>
  </si>
  <si>
    <t>COOPERATIVA DE SERVICIO DE AGUA POTABLE DE VILLASECA LTDA.</t>
  </si>
  <si>
    <t>84794800-0</t>
  </si>
  <si>
    <t>COOPERATIVA DE SERVICIO DE AGUA POTABLE DE BARRANCAS LIMITADA</t>
  </si>
  <si>
    <t>70460200-6</t>
  </si>
  <si>
    <t>COOPERATIVA DE SERVICIO DE AGUA POTABLE SAUZAL LTDA.</t>
  </si>
  <si>
    <t>84793200-7</t>
  </si>
  <si>
    <t>COOPERATIVA DE SERVICIOS DE AGUA POTABLE Y SANEAMIENTO RURAL EL ALGARROBAL LIMITADA</t>
  </si>
  <si>
    <t>84913500-7</t>
  </si>
  <si>
    <t>COOPERATIVA DE SERVICIO SANITARIO RURAL QUINAHUE LTDA. - QUIGUA LTDA.</t>
  </si>
  <si>
    <t>84666300-2</t>
  </si>
  <si>
    <t>COOPERATIVA DE SERVICIO SANITARIO RURAL AUQUINCO LIMITADA</t>
  </si>
  <si>
    <t>70676600-6</t>
  </si>
  <si>
    <t>COOPERATIVA DE SERVICIO DE AGUA POTABLE DE EL CARMEN SAN JOSE LTDA.</t>
  </si>
  <si>
    <t>84865400-0</t>
  </si>
  <si>
    <t>COOPERATIVA DE SERVICIO DE AGUA POTABLE DE CHEQUEN LIMITADA</t>
  </si>
  <si>
    <t>84793100-0</t>
  </si>
  <si>
    <t>COOPERATIVA DE SERVICIO DE AGUA POTABLE EL ASIENTO LIMITADA</t>
  </si>
  <si>
    <t>70811200-3</t>
  </si>
  <si>
    <t>COOPERATIVA DE SERVICIO DE AGUA POTABLE AMERICANA LIMITADA</t>
  </si>
  <si>
    <t>84662900-9</t>
  </si>
  <si>
    <t>COOPERATIVA DE SERVICIO DE AGUA POTABLE DE VALLE HERMOSO LTDA.</t>
  </si>
  <si>
    <t>70585400-9</t>
  </si>
  <si>
    <t>COOPERATIVA DE SERVICIO DE AGUA POTABLE DE PANQUEHUE DE MALLOA LTDA.</t>
  </si>
  <si>
    <t>70711800-8</t>
  </si>
  <si>
    <t>COOPERATIVA DE SERVICIO DE AGUA POTABLE DE PENCAHUE LTDA.</t>
  </si>
  <si>
    <t>84795000-5</t>
  </si>
  <si>
    <t>COOPERATIVA DE SERVICIO DE AGUA POTABLE Y SANEAMIENTO RURAL LA TROYA LIMITADA</t>
  </si>
  <si>
    <t>70450100-5</t>
  </si>
  <si>
    <t>COOPERATIVA DE SERVICIO DE ABASTECIMIENTO Y DISTRIBUCION DE AGUA POTABLE ALCANTARILLADO Y SANEAMIENTO AMBIENTAL EL BOLLENAR-SAN RAMON LIMITADA.</t>
  </si>
  <si>
    <t>70240900-4</t>
  </si>
  <si>
    <t>COOPERATIVA DE SERVICIO DE ABASTECIMIENTO DE AGUA POTABLE ALCANTARILLADO Y SANEAMIENTO AMBIENTAL DE LA COMUNIDAD DE SARMIENTO</t>
  </si>
  <si>
    <t>70403300-1</t>
  </si>
  <si>
    <t>COOPERATIVA DE SERVICIO SANITARIO RURAL ZUÑIGA LIMITADA - COAPZU LTDA</t>
  </si>
  <si>
    <t>70706100-6</t>
  </si>
  <si>
    <t>COOPERATIVA DE SERVICIO DE ABASTECIMIENTO  DE AGUA POTABLE Y SANEAMIENTO AMBIENTAL DE LA COMUNIDAD DE AGUA BUENA LIMITADA</t>
  </si>
  <si>
    <t>84869100-3</t>
  </si>
  <si>
    <t>COOPERATIVA DE SERVICIO DE ABASTECIMIENTO Y DISTRIBUCION DE AGUA POTABLE CODIGUA LIMITADA</t>
  </si>
  <si>
    <t>85122400-9</t>
  </si>
  <si>
    <t>COOPERATIVA DE SERVICIOS DE AGUA POTABLE Y ALCANTARILLADO MELOZAL LIMITADA</t>
  </si>
  <si>
    <t>70025190-K</t>
  </si>
  <si>
    <t>COOPERATIVA DE SERVICIO DE AGUA POTABLE DE SAN JOSE DE MELIPILLA LTDA.</t>
  </si>
  <si>
    <t>70580300-5</t>
  </si>
  <si>
    <t>COOPERATIVA DE AGUA POTABLE ALCANTARILLADO Y SANEAMIENTO AMBIENTAL SAN JOSE DE CUNACO LIMITADA.</t>
  </si>
  <si>
    <t>70745000-2</t>
  </si>
  <si>
    <t>COOPERATIVA DE SERVICIO DE ABASTECIMIENTO DE AGUA POTABLE ALCANTARILLADO Y SANEAMIENTO AMBIENTAL Y OTROS TRES PUENTES LIMITADA</t>
  </si>
  <si>
    <t>70241800-3</t>
  </si>
  <si>
    <t>COOPERATIVA DE AGUA POTABLE EL MELOCOTON BAJO LIMITADA</t>
  </si>
  <si>
    <t>84865500-7</t>
  </si>
  <si>
    <t>COOPERATIVA DE SERVICIO DE AGUA POTABLE ESCORPION LTDA.</t>
  </si>
  <si>
    <t>85311000-0</t>
  </si>
  <si>
    <t>COOPERATIVA DE SERVICIOS MULTIACTIVOS CALAMA LTDA.</t>
  </si>
  <si>
    <t>REGIÓN DE ANTOFAGASTA</t>
  </si>
  <si>
    <t>70012700-1</t>
  </si>
  <si>
    <t>CONFEDERACION GENERAL DE COOPERATIVAS DE CHILE CONFECOOP CHILE LTDA.</t>
  </si>
  <si>
    <t>84808500-6</t>
  </si>
  <si>
    <t>COOPERATIVA DE SERVICIO DE AGUA POTABLE DUAO-TRES ESQUINAS LIMITADA</t>
  </si>
  <si>
    <t>84808300-3</t>
  </si>
  <si>
    <t>COOPERATIVA DE SERVICIO DE AGUA POTABLE DE QUERI LIMITADA</t>
  </si>
  <si>
    <t>70053700-5</t>
  </si>
  <si>
    <t>COOPERATIVA CAMPESINA LA VIÑITA DE MARQUEZA LIMITADA</t>
  </si>
  <si>
    <t>84666100-K</t>
  </si>
  <si>
    <t>COOPERATIVA DE SERVICIO DE ABASTECIMIENTO Y DISTRIBUCION DE AGUA POTABLE, ALCANTARILLADO Y SANEAMIENTO AMBIENTAL EL ABRA LTDA.</t>
  </si>
  <si>
    <t>84797300-5</t>
  </si>
  <si>
    <t>COOPERATIVA DE SERVICIO DE AGUA POTABLE DE VEINTIUNO DE MAYO Y CALLE HERRERA LIMITADA</t>
  </si>
  <si>
    <t>84428700-3</t>
  </si>
  <si>
    <t>COOPERATIVA DE SERVICIO DE ABASTECIMIENTO Y DISTRIBUCION DE AGUA POTABLE DOMINGO ORTIZ DE ROZAS LIMITADA ALHUE</t>
  </si>
  <si>
    <t>85122300-2</t>
  </si>
  <si>
    <t>COOPERATIVA DE SERVICIO DE AGUA POTABLE DE POCILLAS LIMITADA</t>
  </si>
  <si>
    <t>84475200-8</t>
  </si>
  <si>
    <t>COOPERATIVA DE AGUA POTABLE, ALCANTARILLADO Y SANEAMIENTO AMBIENTAL PUEBLO SECO LIMITADA</t>
  </si>
  <si>
    <t>70441000-K</t>
  </si>
  <si>
    <t>COOPERATIVA DE SERVICIO DE AGUA POTABLE DE TRES ESQUINAS DE CACHAPOAL LIMITADA</t>
  </si>
  <si>
    <t>70432300-K</t>
  </si>
  <si>
    <t>COOPERATIVA DE SERVICIO DE ABASTECIMIENTO Y DISTRIBUCION DE AGUA POTABLE TOQUIHUA LIMITADA</t>
  </si>
  <si>
    <t>70433400-1</t>
  </si>
  <si>
    <t>COOPERATIVA DE SERVICIO DE AGUA POTABLE DE VICHUQUEN LIMITADA</t>
  </si>
  <si>
    <t>70485900-7</t>
  </si>
  <si>
    <t>COOPERATIVA DE SERVICIO DE AGUA POTABLE DE LAGUNILLAS LIMITADA</t>
  </si>
  <si>
    <t>82149200-9</t>
  </si>
  <si>
    <t>COOPERATIVA CAMPESINA DEL VALLE DE PUTAENDO LIMITADA</t>
  </si>
  <si>
    <t>70616400-6</t>
  </si>
  <si>
    <t>COOPERATIVA DE AGUA POTABLE, ALCANTARILLADO Y SANEAMIENTO AMBIENTAL TREHUACO LIMITADA.</t>
  </si>
  <si>
    <t>70495800-5</t>
  </si>
  <si>
    <t>COOPERATIVA DE SERVICIO DE ABASTECIMIENTO Y DISTRIBUCIÓN DE AGUA POTABLE, ALCANTARILLADO Y SANEAMIENTO AMBIENTAL LA COMPAÑÍA LIMITADA.</t>
  </si>
  <si>
    <t>84778800-3</t>
  </si>
  <si>
    <t>COOPERATIVA DE SERVICIO DE ABASTECIMIENTO Y DISTRIBUCIÓN DE AGUA POTABLE, ALCANTARILLADO Y SANEAMIENTO AMBIENTAL REQUEGUA LTDA.</t>
  </si>
  <si>
    <t>82392600-6</t>
  </si>
  <si>
    <t>COOPERATIVA AGRICOLA Y DE SERVICIOS LIMITADA</t>
  </si>
  <si>
    <t>85014200-9</t>
  </si>
  <si>
    <t>COOPERATIVA DE SERVICIO DE ABASTECIMIENTO Y DISTRIBUCIÓN DE AGUA POTABLE HUELQUEN LIMITADA</t>
  </si>
  <si>
    <t>82400500-1</t>
  </si>
  <si>
    <t>COOPERATIVA CAMPESINA INTERCOMUNAL PEUMO LIMITADA.</t>
  </si>
  <si>
    <t>70012030-9</t>
  </si>
  <si>
    <t>COOPERATIVA CAMPESINA LAS NIEVES LIMITADA</t>
  </si>
  <si>
    <t>83898700-1</t>
  </si>
  <si>
    <t>COOPERATIVA DE SERVICIOS DE ABASTECIMIENTO Y DISTRIBUCION DE AGUA POTABLE ALCANTARILLADO Y SANEAMIENTO AMBIENTAL YUNGAY GULTRO LOS LIRIOS LTDA.</t>
  </si>
  <si>
    <t>70467300-0</t>
  </si>
  <si>
    <t>COOPERATIVA DE SERVICIO DE AGUA POTABLE DE QUILIMARI LTDA.</t>
  </si>
  <si>
    <t>71362000-9</t>
  </si>
  <si>
    <t>COOPERATIVA DE SERVICIOS DE ABASTECIMIENTO Y DISTRIBUCION DE AGUA POTABLE ALCANTARILLADO Y SANEAMIENTO AMBIENTAL EL PATAGUAL LIMITADA</t>
  </si>
  <si>
    <t>70025350-3</t>
  </si>
  <si>
    <t>COOPERATIVA DE SERVICIO DE ABASTECIMIENTO Y DISTRIBUCIÓN DE AGUA POTABLE, ALCANTARILLADO Y SANEAMIENTO AMBIENTAL HOSPITAL – CHAMPA LIMITADA</t>
  </si>
  <si>
    <t>82495800-9</t>
  </si>
  <si>
    <t>COOPERATIVA DE SERVICIO DE ABASTECIMIENTO Y DISTRIBUCIÓN DE AGUA POTABLE, ALCANTARILLADO Y SANEAMIENTO AMBIENTAL Y OTROS PUMANQUE LIMITADA</t>
  </si>
  <si>
    <t>84865800-6</t>
  </si>
  <si>
    <t>COOPERATIVA DE SERVICIOS SANITARIOS MAULE</t>
  </si>
  <si>
    <t>70298500-5</t>
  </si>
  <si>
    <t>COOPERATIVA DE SERVICIO DE ABASTECIMIENTO DE AGUA POTABLE Y SANEAMIENTO AMBIENTAL DE LA COMUNIDAD DE COMALLE LTDA.</t>
  </si>
  <si>
    <t>81106900-0</t>
  </si>
  <si>
    <t>COOPERATIVA REGIONAL ELECTRICA LLANQUIHUE LTDA.</t>
  </si>
  <si>
    <t>70620500-4</t>
  </si>
  <si>
    <t>COOPERATIVA DE SERVICIO DE ABASTECIMIENTO Y DISTRIBUCION DE AGUA POTABLE ALCANTARILLADO Y SANEAMIENTO AMBIENTAL Y OTROS CAHUIL LIMITADA</t>
  </si>
  <si>
    <t>70381700-9</t>
  </si>
  <si>
    <t>COOPERATIVA DE AGUA POTABLE, ALCANTARILLADO Y SANEAMIENTO AMBIENTAL AGUA Y SOL LIMITADA</t>
  </si>
  <si>
    <t>70371500-1</t>
  </si>
  <si>
    <t>COOPERATIVA DE SERVICIO DE ABASTECIMIENTO DE AGUA POTABLE Y SANEAMIENTO AMBIENTAL DE LA ESTRELLA LIMITADA</t>
  </si>
  <si>
    <t>70421800-1</t>
  </si>
  <si>
    <t>COOPERATIVA DE SERVICIO DE AGUA POTABLE DE LLICO LIMITADA</t>
  </si>
  <si>
    <t>71622700-6</t>
  </si>
  <si>
    <t>COOPERATIVA CAMPESINA LOS NOTROS LTDA.</t>
  </si>
  <si>
    <t>70667200-1</t>
  </si>
  <si>
    <t>COOPERATIVA DE SERVICIO DE AGUA POTABLE DE LO ABARCA LTDA.</t>
  </si>
  <si>
    <t>70020030-2</t>
  </si>
  <si>
    <t>COOPERATIVA ABIERTA DE VIVIENDA CONAVICOOP LTDA</t>
  </si>
  <si>
    <t>84850100-K</t>
  </si>
  <si>
    <t>COOPERATIVA DE SERVICIOS DE AGUA POTABLE Y ALCANTARILLADO EL CRUCERO LIMITADA</t>
  </si>
  <si>
    <t>70070700-8</t>
  </si>
  <si>
    <t>CONFEDERACION NACIONAL DE FEDERACIONES DE COOPERATIVAS Y ASOCIACIONES SILVOAGROPECUARIAS LIMITADA</t>
  </si>
  <si>
    <t>70452300-9</t>
  </si>
  <si>
    <t>COOPERATIVA DE SERVICIO DE ABASTECIMIENTO Y DISTRIBUCION DE AGUA POTABLE Y ALCANTARILLADO EL TAMBO LTDA.</t>
  </si>
  <si>
    <t>70394700-K</t>
  </si>
  <si>
    <t>COOPERATIVA DE SERVICIO DE AGUA POTABLE DE HUILQUIO DE CERRILLOS LIMITADA</t>
  </si>
  <si>
    <t>70418300-3</t>
  </si>
  <si>
    <t>COOPERATIVA DE SERVICIO DE ABASTECIMIENTO Y DISTRIBUCION DE AGUA POTABLE ALCANTARILLADO Y SANEAMIENTO AMBIENTAL Y OTROS TINGUIRIRICA LIMITADA</t>
  </si>
  <si>
    <t>84865600-3</t>
  </si>
  <si>
    <t>COOPERATIVA DE SERVICIO DE AGUA POTABLE DE PANGUILEMO Y ALTO PANGUE LIMITADA</t>
  </si>
  <si>
    <t>84794600-8</t>
  </si>
  <si>
    <t>COOPERATIVA DE SERVICIO SANITARIO RURAL LA FINCA LIMITADA</t>
  </si>
  <si>
    <t>82840700-7</t>
  </si>
  <si>
    <t>COOPERATIVA AGRICOLA, AVICOLA, PORCINA LAS GAVIOTAS LIMITADA</t>
  </si>
  <si>
    <t>85685700-K</t>
  </si>
  <si>
    <t>COOPERATIVA AGRICOLA VALLES HERMOSOS LTDA.</t>
  </si>
  <si>
    <t>82958500-6</t>
  </si>
  <si>
    <t>COOPERATIVA MULTIACTIVA COMANDANTE ALEJANDRO NAVARRETE CISTERNAS LIMITADA</t>
  </si>
  <si>
    <t>COOPERATIVA DE AHORRO Y CREDITO LIBERCOOP</t>
  </si>
  <si>
    <t>84527500-9</t>
  </si>
  <si>
    <t>COOPERATIVA DE SERVICIO SANITARIOS LOS MAITENES</t>
  </si>
  <si>
    <t>COOPERATIVA DE AHORRO Y CRÉDITO EL DETALLISTA LIMITADA</t>
  </si>
  <si>
    <t>70052100-1</t>
  </si>
  <si>
    <t>COOPERATIVA HUERTOS FAMILIARES DE POLPAICO LIMITADA</t>
  </si>
  <si>
    <t>COOPERATIVA DE AHORRO Y CREDITO ISLA DE MAIPO LIMITADA</t>
  </si>
  <si>
    <t>84662500-3</t>
  </si>
  <si>
    <t>COOPERATIVA DE SERVICIOS DE ABASTECIMIENTO Y DISTRIBUCION DE AGUA POTABLE ALCANTARILLADO Y SANEAMIENTO AMBIENTAL SANTA MARGARITA</t>
  </si>
  <si>
    <t>COOPERATIVA DE AHORRO Y CREDITO TALCAHUANO LIMITADA</t>
  </si>
  <si>
    <t>70066100-8</t>
  </si>
  <si>
    <t>COOPERATIVA CAMPESINA PINTUE (COCAPIN) LIMITADA</t>
  </si>
  <si>
    <t>70019970-3</t>
  </si>
  <si>
    <t>COOPERATIVA DE VACACIONES EL TABITO LIMITADA</t>
  </si>
  <si>
    <t>84801300-5</t>
  </si>
  <si>
    <t>COOPERATIVA DE SERVICIO DE ABASTECIMIENTO Y DISTRIBUCIÓN DE AGUA POTABLE, ALCANTARILLADO Y SANEAMIENTO AMBIENTAL JUAN NUÑEZ VALENZUELA LTDA.</t>
  </si>
  <si>
    <t>70400400-1</t>
  </si>
  <si>
    <t>COOPERATIVA DE VIVIENDA Y SERVICIOS HABITACIONALES EL ROTO CHILENO LIMITADA</t>
  </si>
  <si>
    <t>COOPERATIVA DE AHORRO Y CREDITO NORTE GRANDE LIMITADA</t>
  </si>
  <si>
    <t>77595810-3</t>
  </si>
  <si>
    <t>COOPERATIVA AGRICOLA DE COLONIZACION CHUCHIÑI LIMITADA</t>
  </si>
  <si>
    <t>70287900-0</t>
  </si>
  <si>
    <t>COOPERATIVA DE ABASTECIMIENTO DE ENERGIA ELECTRICA CURICO LIMITADA</t>
  </si>
  <si>
    <t>80237700-2</t>
  </si>
  <si>
    <t>COOPERATIVA DE CONSUMO DE ENERGIA ELECTRICA CHILLAN LIMITADA</t>
  </si>
  <si>
    <t>70044000-1</t>
  </si>
  <si>
    <t>COOPERATIVA DE SERVICIOS DE VERANEO SALTOS DEL MOLCO LIMITADA</t>
  </si>
  <si>
    <t>70762200-8</t>
  </si>
  <si>
    <t>COOPERATIVA DE SERVICIOS DE PRÉSTAMOS DE FUNCIONARIOS DE IMPUESTOS INTERNOS NORTE CHICO LTDA.</t>
  </si>
  <si>
    <t>70073100-6</t>
  </si>
  <si>
    <t>COOPERATIVA DE VACACIONES Y SERVICIOS DE RECREACION VILLA MAIPU-MAR LIMITADA</t>
  </si>
  <si>
    <t>COOPERATIVA DE AHORRO Y CREDITO O'HIGGINS LIMITADA</t>
  </si>
  <si>
    <t>70447200-5</t>
  </si>
  <si>
    <t>COOPERATIVA DE VIVIENDA Y SERVICIOS HABITACIONALES ISLA LENOX LIMITADA</t>
  </si>
  <si>
    <t>70031900-8</t>
  </si>
  <si>
    <t>COOPERATIVA DE TRANSPORTES UNIDOS DE CHILE LIMITADA</t>
  </si>
  <si>
    <t>70051200-2</t>
  </si>
  <si>
    <t>COOPERATIVA DE SERVICIOS DE VERANEO LOS POZOS LTDA.</t>
  </si>
  <si>
    <t>70011800-2</t>
  </si>
  <si>
    <t>FEDERACION CHILENA DE COOPERATIVAS DE AHORRO Y CREDITO Y DE PRESTAMOS SOLIDARIO LIMITADA</t>
  </si>
  <si>
    <t>70588700-4</t>
  </si>
  <si>
    <t>COOPERATIVA DE SERVICIOS DE VERANEO, RECREACION Y DESCANSO SIAM DI TELLA LTDA.</t>
  </si>
  <si>
    <t>70019790-5</t>
  </si>
  <si>
    <t>COOPERATIVA DE SERVICIOS PARA NIÑOS LIMITADOS DE RANCAGUA, LIMITADA</t>
  </si>
  <si>
    <t>70268500-1</t>
  </si>
  <si>
    <t>COOPERATIVA DE SERVICIOS DE VERANEO, RECREACION Y DESCANSO LAS CRUCES LIMITADA</t>
  </si>
  <si>
    <t>83004000-5</t>
  </si>
  <si>
    <t>COOPERATIVA DE SERVICIOS EDUCACIONALES WINDSOR SCHOOL LIMITADA</t>
  </si>
  <si>
    <t>70021020-0</t>
  </si>
  <si>
    <t>COOPERATIVA DE SERVICIOS DE VACACIONES COSVAC LTDA.</t>
  </si>
  <si>
    <t>71033100-6</t>
  </si>
  <si>
    <t>SOCIEDAD COOPERATIVA DE SERVICIOS DE CREDITO DE EMPLEADOS DE VALLENAR LIMITADA</t>
  </si>
  <si>
    <t>REGIÓN DE ATACAMA</t>
  </si>
  <si>
    <t>COOPERATIVA DE AHORRO Y CREDITO SANTA INES LIMITADA</t>
  </si>
  <si>
    <t>70011730-8</t>
  </si>
  <si>
    <t>COOPERATIVA DE AGUA POTABLE SANTO DOMINGO LIMITADA</t>
  </si>
  <si>
    <t>70413400-2</t>
  </si>
  <si>
    <t>COOPERATIVA DE PRESTAMOS REGIONAL ACONCAGUA LIMITADA</t>
  </si>
  <si>
    <t>70020530-4</t>
  </si>
  <si>
    <t>COOPERATIVA DE TRABAJO Y SERVICIOS EDUCACIONALES FLORENCE NIGHTINGALE LIMITADA.</t>
  </si>
  <si>
    <t>70023090-2</t>
  </si>
  <si>
    <t>COOPERATIVA DE SERVICIO DE VERANEO VILLA GUARDIANES DEL ESPACIO LIMITADA</t>
  </si>
  <si>
    <t>70024120-3</t>
  </si>
  <si>
    <t>COOPERATIVA DE SERVICIO DE VERANEO Y RECREACIÓN YECO LTDA.</t>
  </si>
  <si>
    <t>70239000-1</t>
  </si>
  <si>
    <t>COOPERATIVA ABIERTA DE VIVIENDA IX REGION, MALLECO Y CAUTIN VIMACAUCOOP LIMITADA</t>
  </si>
  <si>
    <t>70581900-9</t>
  </si>
  <si>
    <t>COOPERATIVA DE CONSUMOS Y SERVICIOS COMPLEMENTARIOS DEL PERSONAL EN (R) Y MONTEPIADAS DE LAS FUERZAS ARMADAS Y CARABINEROS DE LA V REGIÓN LIMITADA</t>
  </si>
  <si>
    <t>COOPERATIVA DE AHORRO, CREDITO Y SERVICIOS FINANCIEROS DE LOS TRABAJADORES DE LA CIA CERVECERIAS UNIDAS LIMITADA</t>
  </si>
  <si>
    <t>70274600-0</t>
  </si>
  <si>
    <t>COOPERATIVA ABIERTA DE VIVIENDA PROVICOOP</t>
  </si>
  <si>
    <t>70282400-1</t>
  </si>
  <si>
    <t>COOPERATIVA MULTIACTIVA DE LOS TRABAJADORES DEL COBRE LIMITADA</t>
  </si>
  <si>
    <t>70500400-5</t>
  </si>
  <si>
    <t>COOPERATIVA DE SERVICIOS DE TRANSPORTE ISLA DEL LAJA LIMITADA.</t>
  </si>
  <si>
    <t>85212700-7</t>
  </si>
  <si>
    <t>COOPERATIVA DE SERVICIOS MULTIPLES TAURUS CAR LTDA.</t>
  </si>
  <si>
    <t>COOPERATIVA DE AHORRO Y CREDITO DE EDUCADORES MANUEL MONTT LIMITADA</t>
  </si>
  <si>
    <t>82906000-0</t>
  </si>
  <si>
    <t>COOPERATIVA DE DUEÑOS DE CAMIONES IQUIQUE LIMITADA</t>
  </si>
  <si>
    <t>REGIÓN DE TARAPACÁ</t>
  </si>
  <si>
    <t>70356600-6</t>
  </si>
  <si>
    <t>COOPERATIVA DE SERVICIO DE TRANSPORTE DE PASAJEROS TALAGANTE-SANTIAGO LIMITADA, "TASACOOP LTDA."</t>
  </si>
  <si>
    <t>70535800-1</t>
  </si>
  <si>
    <t>COOPERATIVA DE SERVICIOS DE VERANEO, RECREACION Y DESCANSO NEPTUNO LIMITADA</t>
  </si>
  <si>
    <t>70678400-4</t>
  </si>
  <si>
    <t>COOPERATIVA DE SERVICIOS SANTA BLANCA LIMITADA</t>
  </si>
  <si>
    <t>70392900-1</t>
  </si>
  <si>
    <t>COOPERATIVA DE SERVICIOS COMUNIDAD VILLA LA CAMPANA LTDA.</t>
  </si>
  <si>
    <t>71023600-3</t>
  </si>
  <si>
    <t>COOPERATIVA DE SERVICIO ASOCIACION DE MEDICOS DEL HOSPITAL CLINICO DE LA UNIVERSIDAD CATOLICA DE CHILE</t>
  </si>
  <si>
    <t>71087400-K</t>
  </si>
  <si>
    <t>COOPERATIVA DE PEQUEÑOS COMERCIANTES Y CHACAREROS DE PAINE LIMITADA</t>
  </si>
  <si>
    <t>COOPERATIVA DE AHORRO Y CREDITO DE TRABAJADORAS DE CASA PARTICULAR LIMITADA</t>
  </si>
  <si>
    <t>71269500-5</t>
  </si>
  <si>
    <t>COOPERATIVA DE AGUA POTABLE VILLA PASO EL ROBLE LIMITADA</t>
  </si>
  <si>
    <t>71353400-5</t>
  </si>
  <si>
    <t>COOPERATIVA ABIERTA DE VIVIENDA REGION DEL BIO-BIO LIMITADA</t>
  </si>
  <si>
    <t>71355500-2</t>
  </si>
  <si>
    <t>COOPERATIVA DE PESCADORES MARE NOSTRUM LTDA.</t>
  </si>
  <si>
    <t>71598400-8</t>
  </si>
  <si>
    <t>COOPERATIVA AGRICOLA PISQUERA SAN CARLOS LIMITADA</t>
  </si>
  <si>
    <t>71956700-2</t>
  </si>
  <si>
    <t>COOPERATIVA CAMPESINA POLUL LIMITADA</t>
  </si>
  <si>
    <t>71982500-1</t>
  </si>
  <si>
    <t>COOPERATIVA DE PESCADORES Y BUZOS MARISCADORES ALCATRAZ LIMITADA DE VENTANA</t>
  </si>
  <si>
    <t>72079900-6</t>
  </si>
  <si>
    <t>COOPERATIVA DE SERVICIOS DE SALUD DE LOS EDUCADORES DE CHILE Y AFINES LIMITADA</t>
  </si>
  <si>
    <t>72361800-2</t>
  </si>
  <si>
    <t>COOPERATIVA PESQUERA PESCALMAR LIMITADA</t>
  </si>
  <si>
    <t>72189800-8</t>
  </si>
  <si>
    <t>COOPERATIVA TAXIS COLECTIVOS TEJAR KENNEDY LTDA.</t>
  </si>
  <si>
    <t>72249600-0</t>
  </si>
  <si>
    <t>COOPERATIVA DE TRABAJO TECNOLOGIA Y DESARROLLO INSULAR LTDA. O "ARCHIPIELAGO"</t>
  </si>
  <si>
    <t>81482800-K</t>
  </si>
  <si>
    <t>COOPERATIVA DE ABASTECIMIENTO Y SERVICIOS DE LOS INDUSTRIALES DE LA MADERA DE VALPARAISO Y ACONCAGUA LIMITADA</t>
  </si>
  <si>
    <t>74379600-4</t>
  </si>
  <si>
    <t>COOPERATIVA DE ABASTECIMIENTO DE ENERGIA ELECTRICA DE SOCOROMA LIMITADA</t>
  </si>
  <si>
    <t>72688200-2</t>
  </si>
  <si>
    <t>COOPERATIVA DE SERVICIOS PLAZAS TECHADAS PERSA BIO BIO LIMITADA</t>
  </si>
  <si>
    <t>72837400-4</t>
  </si>
  <si>
    <t>COOPERATIVA CAMPESINA APICOLA SANTA BARBARA LIMITADA</t>
  </si>
  <si>
    <t>73100100-6</t>
  </si>
  <si>
    <t>COOPERATIVA DE SERVICIOS COMUNITARIOS JARDIN ALTO LIMITADA</t>
  </si>
  <si>
    <t>79005810-0</t>
  </si>
  <si>
    <t>COOPERATIVA DE REFORMA AGRARIA ASIGNATARIA BERNARDO O'HIGGINS LTDA.</t>
  </si>
  <si>
    <t>REGIÓN DE MAGALLANES Y LA ANTARTICA CHILENA</t>
  </si>
  <si>
    <t>73040100-0</t>
  </si>
  <si>
    <t>COOPERATIVA DE SERVICIOS PERSA PLACER BIO BIO</t>
  </si>
  <si>
    <t>72858600-1</t>
  </si>
  <si>
    <t>COOPERATIVA ESPECIAL DE ABASTECIMIENTO, DISTRIBUCION Y VENTA DE ENERGIA ELECTRICA DE MAMIÑA LIMITADA</t>
  </si>
  <si>
    <t>73045500-3</t>
  </si>
  <si>
    <t>COOPERATIVA DE SERVICIOS AGRUPACION DE MUJERES PERSA BIO BIO LIMITADA</t>
  </si>
  <si>
    <t>78839700-3</t>
  </si>
  <si>
    <t>COOPERATIVA CAMPESINA EL PRADO LIMITADA</t>
  </si>
  <si>
    <t>73423900-3</t>
  </si>
  <si>
    <t>COOPERATIVA AGROPECUARIA ÑANCUAN LIMITADA</t>
  </si>
  <si>
    <t>77019930-1</t>
  </si>
  <si>
    <t>COOPERATIVA CAMPESINA ASOCIACION DE APICULTORES DE ALHUE LIMITADA</t>
  </si>
  <si>
    <t>73923900-1</t>
  </si>
  <si>
    <t>COOPERATIVA DE SERVICIOS CENTRO COMERCIAL ALAMEDA MAIPÚ</t>
  </si>
  <si>
    <t>77028210-1</t>
  </si>
  <si>
    <t>COOPERATIVA DE TRANSPORTE Y SERVICIOS CONSTITUCION LIMITADA</t>
  </si>
  <si>
    <t>77205230-8</t>
  </si>
  <si>
    <t>COOPERATIVA CAMPESINA LA ESPERANZA CAMPESINA LIMITADA</t>
  </si>
  <si>
    <t>77084520-3</t>
  </si>
  <si>
    <t>COOPERATIVA CAMPESINA PUTIQUE LIMITADA</t>
  </si>
  <si>
    <t>74160600-3</t>
  </si>
  <si>
    <t>COOPERATIVA CAMPESINA PUNTA CHILEN</t>
  </si>
  <si>
    <t>74317600-6</t>
  </si>
  <si>
    <t>COOPERATIVA CAMPESINA APICOLA VALDIVIA LIMITADA</t>
  </si>
  <si>
    <t>81750300-4</t>
  </si>
  <si>
    <t>COOPERATIVA ELECTRICA OSORNO LTDA.</t>
  </si>
  <si>
    <t>74920600-4</t>
  </si>
  <si>
    <t>COOPERATIVA CAMPESINA LLOLLINCO LIMITADA</t>
  </si>
  <si>
    <t>75103500-4</t>
  </si>
  <si>
    <t>COOPERATIVA DE TRABAJO CADENAS PRODUCTIVAS MUJERES DE CUNCO Y MELIPEUCO LIMITADA</t>
  </si>
  <si>
    <t>70421500-2</t>
  </si>
  <si>
    <t>COOPERATIVA DE SERVICIOS HABITACIONALES ADRIANO ROSSI LIMITADA</t>
  </si>
  <si>
    <t>75414000-3</t>
  </si>
  <si>
    <t>COOPERATIVA CAMPESINA DE APICULTORES Y AGRICULTORES DE LINARES</t>
  </si>
  <si>
    <t>75630600-6</t>
  </si>
  <si>
    <t>COOPERATIVA DE MUTUO DE LOS TRABAJADORES PORTUARIOS DE CHILE</t>
  </si>
  <si>
    <t>96982330-6</t>
  </si>
  <si>
    <t>COOPERATIVA DE ABASTECIMIENTO DE ENERGIA ELECTRICA SAN PEDRO DE ATACAMA</t>
  </si>
  <si>
    <t>65032730-6</t>
  </si>
  <si>
    <t>COOPERATIVA DE TRABAJO PARA EL DESARROLLO SUSTENTABLE TERRITORIO SUR</t>
  </si>
  <si>
    <t>82338100-K</t>
  </si>
  <si>
    <t>COOPERATIVA DE REFORMA AGRARIA ASIGNATARIA "CACIQUE MULATO LTDA."</t>
  </si>
  <si>
    <t>77970450-5</t>
  </si>
  <si>
    <t>COOPERATIVA DE CRÉDITO DE MAESTROS DE QUILPUÉ LIMITADA</t>
  </si>
  <si>
    <t>77885200-4</t>
  </si>
  <si>
    <t>COOPERATIVA DE TRABAJO ASECOOP LIMITADA</t>
  </si>
  <si>
    <t>65580820-5</t>
  </si>
  <si>
    <t>COOPERATIVA DE MARISCADORAS PUESTA DE SOL</t>
  </si>
  <si>
    <t>65335770-2</t>
  </si>
  <si>
    <t>COOPERATIVA DE TRABAJO TAXIS BASICOS LAJA - COOPERATIVA TAXIS BASICOS LAJA</t>
  </si>
  <si>
    <t>76106370-7</t>
  </si>
  <si>
    <t>COOPERATIVA CEGE IX REGION O CEGE IX REGION O CENTRO DE GESTION EMPRESARIAL O CEGE</t>
  </si>
  <si>
    <t>65437630-1</t>
  </si>
  <si>
    <t>COOPERATIVA DE ARMADORES CERQUEROS IV REGION</t>
  </si>
  <si>
    <t>COOPERATIVA DE AHORRO Y CREDITO DE ARICA Y PARINACOTA LIMITADA</t>
  </si>
  <si>
    <t>COOPERATIVA DE AHORRO Y CREDITO CAJANOVA</t>
  </si>
  <si>
    <t>76205800-6</t>
  </si>
  <si>
    <t>COOPERATIVA DE SERVICIO DE ABASTECIMIENTO Y DISTRIBUCIÓN DE AGUA POTABLE, ALCANTARILLADO Y SANEAMIENTO AMBIENTAL SAN ALEJO LIMITADA</t>
  </si>
  <si>
    <t>COOPERATIVA DE AHORRO Y CREDITO LOS ANDES LTDA.</t>
  </si>
  <si>
    <t>65519230-1</t>
  </si>
  <si>
    <t>COOPERATIVA DE AGUA POTABLE, ALCANTARILLADO Y SANEAMIENTO CHACARILLAS CAIVAN LIMITADA</t>
  </si>
  <si>
    <t>65819280-9</t>
  </si>
  <si>
    <t>COOPERATIVA DE TRABAJO "SEMILLERO CASCAJAL" O "CASCAJALSEMILLA"</t>
  </si>
  <si>
    <t>65588290-1</t>
  </si>
  <si>
    <t>COOPERATIVA CAMPESINA APICOLA EL QUILLAY LTDA.</t>
  </si>
  <si>
    <t>65611890-3</t>
  </si>
  <si>
    <t>COOPERATIVA DE PESCADORES Y BUZOS DE CALBUCO</t>
  </si>
  <si>
    <t>76452080-7</t>
  </si>
  <si>
    <t>COOPERATIVA DE SERVICIO DE ABASTECIMIENTO Y DISTRIBUCION DE AGUA POTABLE, ALCANTARILLADO Y SANEAMIENTO AMBIENTAL PERQUENCO LIMITADA</t>
  </si>
  <si>
    <t>65882770-7</t>
  </si>
  <si>
    <t>COOPERATIVA DE AGUA POTABLE, ALCANTARILLADO Y SANEAMIENTO AMBIENTAL QUIÑIPEUMO LIMITADA</t>
  </si>
  <si>
    <t>65745990-9</t>
  </si>
  <si>
    <t>COOPERATIVA DE SERVICIO DE AGUA POTABLE, ALCANTARILLADO Y SANEAMIENTO AMBIENTAL CUMPEO LTDA.</t>
  </si>
  <si>
    <t>65614330-4</t>
  </si>
  <si>
    <t>COOPERATIVA DE SERVICIOS DE AGUA POTABLE Y ALCANTARILLADO QUEMAUS LIMITADA</t>
  </si>
  <si>
    <t>COOPERATIVA DE AHORRO Y CREDITO VALLES DE CHILE</t>
  </si>
  <si>
    <t>COOPERATIVA DE AHORRO Y CREDITO MAGISTERIO DE LA ARAUCANIA LIMITADA</t>
  </si>
  <si>
    <t>65846550-3</t>
  </si>
  <si>
    <t>COOPERATIVA CAMPESINA AGRÍCOLA MATARREDONDA</t>
  </si>
  <si>
    <t>COOPERATIVA DE AHORRO Y CREDITO PARA EL DESARROLLO FINANCOOP</t>
  </si>
  <si>
    <t>65691250-2</t>
  </si>
  <si>
    <t>COOPERATIVA DE PESCADORES PACIFICO SUR MEHUIN</t>
  </si>
  <si>
    <t>65790340-K</t>
  </si>
  <si>
    <t>COOPERATIVA DE SERVICIO DE AGUA POTABLE, ALCANTARILLADO Y SANEAMIENTO AMBIENTAL MARIPOSAS LTDA.</t>
  </si>
  <si>
    <t>COOPERATIVA DE AHORRO Y CREDITO ORIENTE LIMITADA</t>
  </si>
  <si>
    <t>65810660-0</t>
  </si>
  <si>
    <t>COOPERATIVA DE SERVICIOS SANITARIOS CARELMAPU LIMITADA</t>
  </si>
  <si>
    <t>65839250-6</t>
  </si>
  <si>
    <t>COOPERATIVA DE CONSUMO ÑGEN DE CURARREHUE</t>
  </si>
  <si>
    <t>65826510-5</t>
  </si>
  <si>
    <t>COOPERATIVA DE SERVICIO DE ABASTECIMIENTO Y DISTRIBUCION DE AGUA POTABLE, ALCANTARILLADO Y SANEAMIENTO AMBIENTAL GACITUA.</t>
  </si>
  <si>
    <t>76845590-2</t>
  </si>
  <si>
    <t>COOPERATIVA DE SERVICIOS DE TRABAJADORES DE EDYCE "COOTREDY"</t>
  </si>
  <si>
    <t>65269340-7</t>
  </si>
  <si>
    <t>COOPERATIVA DE SERVICIO DE AGUA POTABLE Y ALCANTARILLADO SANTA OLGA-LOS AROMOS-CRUCE EMPEDRADO LIMITADA</t>
  </si>
  <si>
    <t>65834380-7</t>
  </si>
  <si>
    <t>COOPERATIVA DE AGUA POTABLE RURAL EL BOSQUE DE PANIMAVIDA LTDA.</t>
  </si>
  <si>
    <t>65825930-K</t>
  </si>
  <si>
    <t>COOPERATIVA DE AGUA POTABLE RURAL FLOR MARÍA LTDA.</t>
  </si>
  <si>
    <t>76828890-9</t>
  </si>
  <si>
    <t>COOPERATIVA DE SERVICIOS DE AGUA POTABLE Y ALCANTARILLADO LAS ENCINAS</t>
  </si>
  <si>
    <t>76866660-1</t>
  </si>
  <si>
    <t>COOPERATIVA DE COMERCIANTES AMBULANTES EL ESFUERZO DE LOS VILOS</t>
  </si>
  <si>
    <t>76932850-5</t>
  </si>
  <si>
    <t>COOPERATIVA DE SERVICIOS LOCALES DE INFORMACIÓN Y COMUNICACIONES</t>
  </si>
  <si>
    <t>65974100-8</t>
  </si>
  <si>
    <t>COOPERATIVA DE PESCADORES Y ARMADORES ARTESANALES DE LOTA</t>
  </si>
  <si>
    <t>65851260-9</t>
  </si>
  <si>
    <t>COOPERATIVA CAMPESINA WULL-AGRO</t>
  </si>
  <si>
    <t>65935460-8</t>
  </si>
  <si>
    <t>COOPERATIVA DE SERVICIO DE ABASTECIMIENTO, DISTRIBUCION Y CAPTACION DE AGUA POTABLE, ALCANTARILLADO Y SANEAMIENTO AMBIENTAL CAMPANARIO LIMITADA</t>
  </si>
  <si>
    <t>65863610-3</t>
  </si>
  <si>
    <t>COOPERATIVA AGRÍCOLA APICULTORES DEL SUR</t>
  </si>
  <si>
    <t>65873140-8</t>
  </si>
  <si>
    <t>COOPERATIVA AGROFORESTAL COIGÜE LIMITADA</t>
  </si>
  <si>
    <t>65849070-2</t>
  </si>
  <si>
    <t>COOPERATIVA AGRÍCOLA DE ANCOVINTO "QUINUACOOP"</t>
  </si>
  <si>
    <t>65942570-K</t>
  </si>
  <si>
    <t>FEDERACION DE COOPERATIVAS AGROAPICOLAS</t>
  </si>
  <si>
    <t>65013376-5</t>
  </si>
  <si>
    <t>COOPERATIVA DE TRABAJO HUNAB KU, DE INVESTIGACIÓN Y DESARROLLO SOSTENIBLE DE ENERGÍAS ALTERNATIVAS Y SOLUCIONES MEDIO AMBIENTALES.</t>
  </si>
  <si>
    <t>76003475-4</t>
  </si>
  <si>
    <t>COOPERATIVA DE SERVICIOS ANDINOS DE CHILE</t>
  </si>
  <si>
    <t>65881800-7</t>
  </si>
  <si>
    <t>COOPERATIVA AGRICOLA HUICHAHUE-NEHUEN LIMITADA</t>
  </si>
  <si>
    <t>COOPERATIVA DE AHORRO Y CREDITO DE LIMARI LIMITADA</t>
  </si>
  <si>
    <t>65006078-4</t>
  </si>
  <si>
    <t>COOPERATIVA DE SERVICIO DE ABASTECIMIENTO Y DISTRIBUCION DE AGUA POTABLE, ALCANTARILLADO Y SANEAMIENTO AMBIENTAL LAS CASAS DE PUCALAN LIMITADA.</t>
  </si>
  <si>
    <t>65935490-K</t>
  </si>
  <si>
    <t>COOPERATIVA AGRÍCOLA PEÑIWEN LIMITADA</t>
  </si>
  <si>
    <t>65905690-9</t>
  </si>
  <si>
    <t>COOPERATIVA DE SERVICIO DE ABASTECIMIENTO Y DISTRIBUCION DE AGUA POTABLE ALCANTARILLADO Y SANEAMIENTO AMBIENTAL AGUAS MELIPEUCO LIMITADA</t>
  </si>
  <si>
    <t>65929340-4</t>
  </si>
  <si>
    <t>COOPERATIVA DE TRABAJO PROTECCION Y MANTENCION DE AREAS VERDES</t>
  </si>
  <si>
    <t>65934730-K</t>
  </si>
  <si>
    <t>COOPERATIVA DE TRABAJO LAS MARAVILLAS DE LO ERRAZURIZ</t>
  </si>
  <si>
    <t>65934750-4</t>
  </si>
  <si>
    <t>COOPERATIVA DE TRABAJO SOL PONIENTE</t>
  </si>
  <si>
    <t>65934330-4</t>
  </si>
  <si>
    <t>COOPERATIVA DE SERVICIOS MÚLTIPLES PARA EL DESARROLLO SUSTENTABLE RAÍCES LIMITADA "COOPERATIVA RAICES"</t>
  </si>
  <si>
    <t>65956170-0</t>
  </si>
  <si>
    <t>COOPERATIVA DE TRABAJO ECCOOP LIMITADA</t>
  </si>
  <si>
    <t>65001112-0</t>
  </si>
  <si>
    <t>COOPERATIVA DE AGUA POTABLE PUENTE ÑUBLE LIMITADA</t>
  </si>
  <si>
    <t>65999739-8</t>
  </si>
  <si>
    <t>COOPERATIVA PESQUERA Y COMERCIALIZADORA DE GUAYACAN</t>
  </si>
  <si>
    <t>76044544-4</t>
  </si>
  <si>
    <t>COOPERATIVA AGRÍCOLA APÍCOLA LOMAS DE LIRCAY LIMITADA.</t>
  </si>
  <si>
    <t>65003472-4</t>
  </si>
  <si>
    <t>FEDERACION NACIONAL DE COOPERATIVAS DE SERVICIOS SANITARIOS LIMITADA</t>
  </si>
  <si>
    <t>65005079-7</t>
  </si>
  <si>
    <t>COOPERATIVA DE SERVICIOS DE ABASTECIMIENTO Y DISTRIBUCIÓN DE AGUA POTABLE, ALCANTARILLADO Y SANEAMIENTO AMBIENTAL MALALHUE LIMITADA.</t>
  </si>
  <si>
    <t>COOPERATIVA DE AHORRO Y CREDITO BANSUR</t>
  </si>
  <si>
    <t>65011875-8</t>
  </si>
  <si>
    <t>COOPERATIVA DE TRABAJO DE DUEÑOS DE TAXIS COLECTIVOS LINEA VEINTIUNO</t>
  </si>
  <si>
    <t>65009033-0</t>
  </si>
  <si>
    <t>COOPERATIVA DE SERVICIO DE AGUA POTABLE DE FLOR DEL LLANO LTDA.</t>
  </si>
  <si>
    <t>65006248-5</t>
  </si>
  <si>
    <t>COOPERATIVA DE PESCADORES ARTESANALES PUERTO MONTT</t>
  </si>
  <si>
    <t>65019789-5</t>
  </si>
  <si>
    <t>COOPERATIVA AGRÍCOLA MULTIBERRIES GORBEA LIMITADA</t>
  </si>
  <si>
    <t>65019227-3</t>
  </si>
  <si>
    <t>COOPERATIVA DE TRABAJO WITRALTU MAPU LIMITADA</t>
  </si>
  <si>
    <t>65011753-0</t>
  </si>
  <si>
    <t>COOPERATIVA DE TRABAJO DE DUEÑOS DE TAXIS COLECTIVOS SOL DE LA PATAGONIA LINEA CIENTO CATORCE</t>
  </si>
  <si>
    <t>65026358-8</t>
  </si>
  <si>
    <t>COOPERATIVA CAMPESINA DE SALINEROS DE CAHUIL, BARRANCA Y LA VILLA</t>
  </si>
  <si>
    <t>65020693-2</t>
  </si>
  <si>
    <t>COOPERATIVA DE SERVICIOS EL SALVADOR LIMITADA</t>
  </si>
  <si>
    <t>65020501-4</t>
  </si>
  <si>
    <t>COOPERATIVA DE CONSUMO RESPONSABLE DE VALDIVIA</t>
  </si>
  <si>
    <t>65021263-0</t>
  </si>
  <si>
    <t>FEDERACION NACIONAL DE COOPERATIVAS DE SERVICIOS LTDA.</t>
  </si>
  <si>
    <t>65060911-5</t>
  </si>
  <si>
    <t>COOPERATIVA DE COMERCIALIZACIÓN Y DE SERVICIOS OVALLE NORTE VERDE LIMITADA</t>
  </si>
  <si>
    <t>65023142-2</t>
  </si>
  <si>
    <t>COOPERATIVA MULTIACTIVA DE TRANSPORTISTAS DE ANDACOLLO</t>
  </si>
  <si>
    <t>65024208-4</t>
  </si>
  <si>
    <t>COOPERATIVA PESQUERA Y COMERCIALIZADORA EL SALADO</t>
  </si>
  <si>
    <t>65026517-3</t>
  </si>
  <si>
    <t>COOPERATIVA DE TRABAJO CREACION ACTIVA TOTAL ORGANICA</t>
  </si>
  <si>
    <t>65027107-6</t>
  </si>
  <si>
    <t>COOPERATIVA FOLIL ARAUCANIA</t>
  </si>
  <si>
    <t>65029648-6</t>
  </si>
  <si>
    <t>COOPERATIVA DE DESARROLLO SUSTENTABLE</t>
  </si>
  <si>
    <t>65038832-1</t>
  </si>
  <si>
    <t>COOPERATIVA PESQUERA Y COMERCIALIZADORA LOS CHOROS</t>
  </si>
  <si>
    <t>65041132-3</t>
  </si>
  <si>
    <t>COOPERATIVA PESQUERA Y COMERCIALIZADORA PUNTA NORTE</t>
  </si>
  <si>
    <t>65034051-5</t>
  </si>
  <si>
    <t>COOPERATIVA AGRICOLA EL ESFUERZO DE LOS EMPRENDEDORES DE LA COMUNA DE LAUTARO</t>
  </si>
  <si>
    <t>65038475-K</t>
  </si>
  <si>
    <t>COOPERATIVA TRABAJO DE PRODUCTORES AGROECOLOGICOS DE CHILOE</t>
  </si>
  <si>
    <t>65035241-6</t>
  </si>
  <si>
    <t>COOPERATIVA DE SERVICIOS Y BENEFICIOS DE SALUD DE LOS TRABAJADORES DE CHILE LIMITADA</t>
  </si>
  <si>
    <t>76159753-1</t>
  </si>
  <si>
    <t>COOPERATIVA CAMPESINA, AGRICOLA Y GANADERA MULTIACTIVA RURAL PRODUCTORES DEL BAKER</t>
  </si>
  <si>
    <t>REGIÓN DE AYSÉN DEL GENERAL CARLOS IBÁÑEZ DEL CAMPO</t>
  </si>
  <si>
    <t>65038239-0</t>
  </si>
  <si>
    <t>COOPERATIVA DE PESCADORES ARTESANALES MAR DE TENGLO</t>
  </si>
  <si>
    <t>COOPERATIVA DE AHORRO Y CREDITO FINANCIERA AGRARIA LIMITADA</t>
  </si>
  <si>
    <t>65058589-5</t>
  </si>
  <si>
    <t>COOPERATIVA DE PESCADORES ARTESANALES CALETA QUEULE</t>
  </si>
  <si>
    <t>65762530-2</t>
  </si>
  <si>
    <t>COOPERATIVA CAMPESINA PUKOYAM LIMITADA</t>
  </si>
  <si>
    <t>65051772-5</t>
  </si>
  <si>
    <t>COOPERATIVA DE AGRICOLA IMPERIAL</t>
  </si>
  <si>
    <t>76211065-2</t>
  </si>
  <si>
    <t>COOPERATIVA DE SERVICIO DE TRANSPORTE DE PASAJEROS PEÑAFLOR - SANTIAGO LIMITADA</t>
  </si>
  <si>
    <t>65053634-7</t>
  </si>
  <si>
    <t>COOPERATIVA DE PESCADORES ARTESANALES DE LA REGION DEL BIO BIO</t>
  </si>
  <si>
    <t>65072843-2</t>
  </si>
  <si>
    <t>COOPERATIVA CAMPESINA FOLIL MAPU LTDA.</t>
  </si>
  <si>
    <t>65066948-7</t>
  </si>
  <si>
    <t>COOPERATIVA AGROECOLOGICA, SILVOAGROPECUARIA Y DE SERVICIOS AMULEY LEF TRARU</t>
  </si>
  <si>
    <t>65058266-7</t>
  </si>
  <si>
    <t>COOPERATIVA DE COMBUSTIBLES SOLIDOS DE MADERA LEÑEROS DEL ÑIELOL</t>
  </si>
  <si>
    <t>65063486-1</t>
  </si>
  <si>
    <t>COOPERATIVA CAMPESINA BERRIES DEL RANCO</t>
  </si>
  <si>
    <t>65070137-2</t>
  </si>
  <si>
    <t>COOPERATIVA DE TRABAJO ALIANZA EMPRESARIAL MAPUCHE NAGCHE WENTECHE</t>
  </si>
  <si>
    <t>65063557-4</t>
  </si>
  <si>
    <t>COOPERATIVA DE ENERGIAS DE BAJO IMPACTO AMBIENTAL ENER PUCON</t>
  </si>
  <si>
    <t>65071724-4</t>
  </si>
  <si>
    <t>COOPERATIVA AGRICOLA CAMPESINA WE MOGEN</t>
  </si>
  <si>
    <t>65081124-0</t>
  </si>
  <si>
    <t>COOPERATIVA DE TRANSPORTE RURAL LOS LAGOS</t>
  </si>
  <si>
    <t>65071256-0</t>
  </si>
  <si>
    <t>COOPERATIVA CAMPESINA DE AGRICULTORES HIDROPONICOS DE QUILLAGUA</t>
  </si>
  <si>
    <t>65073751-2</t>
  </si>
  <si>
    <t>COOPERATIVA AGRICOLA OVINOS ARAUCANIA</t>
  </si>
  <si>
    <t>65089348-4</t>
  </si>
  <si>
    <t>COOPERATIVA AGRICOLA Y DE SERVICIOS TIERRA SUR LIMITADA</t>
  </si>
  <si>
    <t>65076518-4</t>
  </si>
  <si>
    <t>COOPERATIVA DE PRESTAMOS SOLIDARIOS MUNDO AHORRO LIMITADA</t>
  </si>
  <si>
    <t>65076233-9</t>
  </si>
  <si>
    <t>COOPERATIVA AGRICOLA CAMPOS DE HIELO LIMITADA</t>
  </si>
  <si>
    <t>65102075-1</t>
  </si>
  <si>
    <t>COOPERATIVA DE TRABAJO PARA LA CULTURA Y LA AUTOEDUCACION CENTRO ALERTA</t>
  </si>
  <si>
    <t>65082841-0</t>
  </si>
  <si>
    <t>COOPERATIVA COMERCIALIZADORA Y DE SERVICIOS TIERRA NUESTRA LIMITADA</t>
  </si>
  <si>
    <t>65075539-1</t>
  </si>
  <si>
    <t>COOPERATIVA CAMPESINA OVINOS VICTORIA</t>
  </si>
  <si>
    <t>65077382-9</t>
  </si>
  <si>
    <t>COOPERATIVA DE TRABAJO ALGUEROS ISLA DEL REY LIMITADA</t>
  </si>
  <si>
    <t>65079648-9</t>
  </si>
  <si>
    <t>COOPERATIVA AGRICOLA APICOLA CUENCA DEL MATAQUITO LIMITADA</t>
  </si>
  <si>
    <t>65078111-2</t>
  </si>
  <si>
    <t>COOPERATIVA DE PESCADORES ARTESANALES CALETA PICHIDANGUI</t>
  </si>
  <si>
    <t>65078097-3</t>
  </si>
  <si>
    <t>COOPERATIVA DE PESCADORES ARTESANALES TOTORALILLO SUR</t>
  </si>
  <si>
    <t>65081039-2</t>
  </si>
  <si>
    <t>COOPERATIVA AGRICOLA NEWENKO</t>
  </si>
  <si>
    <t>65085068-8</t>
  </si>
  <si>
    <t>COOPERATIVA DE TRABAJO AGUA DE LA MONTAÑA</t>
  </si>
  <si>
    <t>65088167-2</t>
  </si>
  <si>
    <t>COOPERATIVA PESQUERA CALETA LOS PIURES PUNTA DE LOBOS</t>
  </si>
  <si>
    <t>COOPERATIVA DE AHORRO Y CREDITO SOLIDARIDAD</t>
  </si>
  <si>
    <t>65085312-1</t>
  </si>
  <si>
    <t>COOPERATIVA DE TRABAJO EN ARTE CULTURA Y COMUNICACIONES</t>
  </si>
  <si>
    <t>65085874-3</t>
  </si>
  <si>
    <t>COOPERATIVA DE TRABAJO NOMADA SUR</t>
  </si>
  <si>
    <t>65083165-9</t>
  </si>
  <si>
    <t>COOPERATIVA CAMPESINA RESTAURADORAS DE NAHUELBUTA CONTULMO</t>
  </si>
  <si>
    <t>65088666-6</t>
  </si>
  <si>
    <t>COOPERATIVA PESQUERA Y COMERCIALIZADORA CALETA SAN PEDRO</t>
  </si>
  <si>
    <t>65087874-4</t>
  </si>
  <si>
    <t>COOPERATIVA DE RECICLAJES VALDIVIANOS SIN BASURA</t>
  </si>
  <si>
    <t>65097248-1</t>
  </si>
  <si>
    <t>COOPERATIVA AGRICOLA HORTICOLA EL NATRE</t>
  </si>
  <si>
    <t>65089946-6</t>
  </si>
  <si>
    <t>COOPERATIVA ACUICOLA M 31 DE TONGOY</t>
  </si>
  <si>
    <t>65097134-5</t>
  </si>
  <si>
    <t>COOPERATIVA DE TRABAJO MULTIACTIVA PESQUERA ARTESANAL CALETA ZENTENO LIMITADA</t>
  </si>
  <si>
    <t>65096886-7</t>
  </si>
  <si>
    <t>COOPERATIVA APÍCOLA PADRE LAS CASAS</t>
  </si>
  <si>
    <t>65091056-7</t>
  </si>
  <si>
    <t>COOPERATIVA DE TRABAJO EN SERVICIOS DEL AREA SOCIAL DE CONSULTORIA</t>
  </si>
  <si>
    <t>70558800-7</t>
  </si>
  <si>
    <t>COOPERATIVA AGROPECUARIA DE LA REFORMA AGRARIA PRESIDENTE JOHN F. KENNEDY LIMITADA</t>
  </si>
  <si>
    <t>65091561-5</t>
  </si>
  <si>
    <t>COOPERATIVA AGROPECUARIA MÁSOVINO LIMITADA</t>
  </si>
  <si>
    <t>65097304-6</t>
  </si>
  <si>
    <t>COOPERATIVA DE TRABAJO SEMILLA AUSTRAL LIMITADA</t>
  </si>
  <si>
    <t>65097562-6</t>
  </si>
  <si>
    <t>COOPERATIVA DE TRABAJO EL LAUREL LIMITADA</t>
  </si>
  <si>
    <t>65099473-6</t>
  </si>
  <si>
    <t>COOPERATIVA AGRICOLA QUESERA-LACTEOS SANTA ROSA PAILLACO</t>
  </si>
  <si>
    <t>65127001-4</t>
  </si>
  <si>
    <t>COOPERATIVA AGRICOLA ITINENTO FRUT LIMITADA</t>
  </si>
  <si>
    <t>65098062-k</t>
  </si>
  <si>
    <t>COOPERATIVA DE TRABAJO CAMPESINA Y MAPUCHE DE PUCÓN</t>
  </si>
  <si>
    <t>65099652-6</t>
  </si>
  <si>
    <t>COOPERATIVA PATAGÓNICA DE AGROTURISMO SALTOS DEL HUEMULES LIMITADA</t>
  </si>
  <si>
    <t>65098734-9</t>
  </si>
  <si>
    <t>COOPERATIVA CERRADA DE VIVIENDA YUNGAY LIMITADA</t>
  </si>
  <si>
    <t>65098705-5</t>
  </si>
  <si>
    <t>COOPERATIVA DE SERVICIOS Y TALLERES GRÁFICOS</t>
  </si>
  <si>
    <t>65100751-8</t>
  </si>
  <si>
    <t>COOPERATIVA CAMPESINA , SILVOAGROPECUARIA, TURÍSTICA, ARTESANAL Y CULTURAL MELIMAPO</t>
  </si>
  <si>
    <t>65106048-6</t>
  </si>
  <si>
    <t>COOPERATIVA CAMPESINA DE DESARROLLO CAMPESINO MAPUCHE NAHUELBUTA</t>
  </si>
  <si>
    <t>53325461-6</t>
  </si>
  <si>
    <t>COOPERATIVA DE SERVICIOS DE SUMINISTRO ELECTRICO PANUL</t>
  </si>
  <si>
    <t>65101257-0</t>
  </si>
  <si>
    <t>COOPERATIVA DE TRABAJO "M30M"</t>
  </si>
  <si>
    <t>65103249-0</t>
  </si>
  <si>
    <t>COOPERATIVA AGRICOLA ANTONIO RAPIMAN LIMITADA</t>
  </si>
  <si>
    <t>65101045-4</t>
  </si>
  <si>
    <t>COOPERATIVA DE SERVICIOS Y TALLERES MUEBLISTAS DE SANTIAGO</t>
  </si>
  <si>
    <t>76466357-8</t>
  </si>
  <si>
    <t>COOPERATIVA MULTIACTIVA ENDOGENA MAPUCHE LOF TOLPAN LIMITADA</t>
  </si>
  <si>
    <t>65104108-2</t>
  </si>
  <si>
    <t>COOPERATIVA AGRICOLA TIERRA NUEVA LIMITADA</t>
  </si>
  <si>
    <t>65104381-6</t>
  </si>
  <si>
    <t>AGRICOLA TIERRA FLOR DE LA ARAUCANIA</t>
  </si>
  <si>
    <t>65102573-7</t>
  </si>
  <si>
    <t>COOPERATIVA DE AGRICULTORES HIDROPONICOS ALTOS LA PORTADA</t>
  </si>
  <si>
    <t>65109559-K</t>
  </si>
  <si>
    <t>COOPERATIVA AMEGA DE TRABAJADORES DE PERSA ZAPADORES</t>
  </si>
  <si>
    <t>65107989-6</t>
  </si>
  <si>
    <t>COOPERATIVA CERRADA DE VIVIENDA ÑUKE MAPU LIMITADA</t>
  </si>
  <si>
    <t>65108754-6</t>
  </si>
  <si>
    <t>COOPERATIVA DE TRABAJO, TURISMO LAS PALMAS DE PITRUCAO LIMITADA</t>
  </si>
  <si>
    <t>53324159-K</t>
  </si>
  <si>
    <t>COOPERATIVA AGRÍCOLA DE ELABORACIÓN Y COMERCIALIZACIÓN DE LA RUMPA DEL COPAO, REGIÓN DE COQUIMBO LIMITADA</t>
  </si>
  <si>
    <t>65113527-3</t>
  </si>
  <si>
    <t>COOPERATIVA DE TRABAJO AGROTURISMO DE MUJERES MAPUCHE NAHUELBUTA TRAIGUEN COMUNIDAD CONTRERAS</t>
  </si>
  <si>
    <t>65108548-9</t>
  </si>
  <si>
    <t>COOPERATIVA DE TRABAJO COOCREAR</t>
  </si>
  <si>
    <t>65109146-2</t>
  </si>
  <si>
    <t>FEDERACION DE COOPERATIVAS DE TRABAJO TRASOL</t>
  </si>
  <si>
    <t>65109704-5</t>
  </si>
  <si>
    <t>COOPERATIVA DE TRABAJO, TELARES Y ARTESANIAS DE DOÑIHUE</t>
  </si>
  <si>
    <t>76509617-0</t>
  </si>
  <si>
    <t>COOPERATIVA DE TRABAJO HUB ISPIRARE LTDA</t>
  </si>
  <si>
    <t>65110699-0</t>
  </si>
  <si>
    <t>COOPERATIVA DE TRABAJO EL ARCO DE PICHILEMU</t>
  </si>
  <si>
    <t>65112822-6</t>
  </si>
  <si>
    <t>COOPERATIVA DE TRABAJO DE TERAPEUTAS CIEGOS</t>
  </si>
  <si>
    <t>COOPERATIVA DE AHORRO Y CREDITO ENDOGENA MAPUCHE KUME MOGEN LIMITADA</t>
  </si>
  <si>
    <t>65117291-8</t>
  </si>
  <si>
    <t>COOPERATIVA CAMPESINA DE CULTIVOS ANDINOS</t>
  </si>
  <si>
    <t>65117431-7</t>
  </si>
  <si>
    <t>COOPERATIVA AGRICOLA DE PRODUCTORES DE BERRIES DE CHIMBARONGO LTDA</t>
  </si>
  <si>
    <t>65112663-0</t>
  </si>
  <si>
    <t>COOPERATIVA DE TRABAJO SURNOVA LIMITADA</t>
  </si>
  <si>
    <t>65112801-3</t>
  </si>
  <si>
    <t>COOPERATIVA AGRICOLA Y VITIVINICOLA CERRO NEGRO - QUILLON LIMITADA</t>
  </si>
  <si>
    <t>65112838-2</t>
  </si>
  <si>
    <t>COOPERATIVA DE TRABAJO CORDILLERA</t>
  </si>
  <si>
    <t>65092592-0</t>
  </si>
  <si>
    <t>COOPERATIVA AGROGANADERA LONQUIMAY</t>
  </si>
  <si>
    <t>65116937-2</t>
  </si>
  <si>
    <t>COOPERATIVA AGRÍCOLA DE OLIVICULTORES DE LOS CHOROS</t>
  </si>
  <si>
    <t>53324280-4</t>
  </si>
  <si>
    <t>COOPERATIVA DE TRABAJO CREA Y EMPRENDE MAIPU</t>
  </si>
  <si>
    <t>COOPERATIVA DE AHORRO Y CREDITO PLANEA</t>
  </si>
  <si>
    <t>65125252-0</t>
  </si>
  <si>
    <t>COOPERATIVA AGRICOLA AGROPECUARIOS CANELA LIMITADA</t>
  </si>
  <si>
    <t>65114319-5</t>
  </si>
  <si>
    <t>COOPERATIVA CAMPESINA SIPAM CHILEO</t>
  </si>
  <si>
    <t>65120615-4</t>
  </si>
  <si>
    <t>COOPERATIVA DE SERVICIOS ABASTECIMIENTO JUNTOS COMPREMOS</t>
  </si>
  <si>
    <t>65125659-3</t>
  </si>
  <si>
    <t>COOPERATIVA AGRÍCOLA NEWEN BERRIES PITRUFQUÉN</t>
  </si>
  <si>
    <t>65094632-4</t>
  </si>
  <si>
    <t>COOPERATIVA DE TRASHUMANTES DE ILLAPEL</t>
  </si>
  <si>
    <t>65142606-5</t>
  </si>
  <si>
    <t>COOPERATIVA PESQUERA RUNA LAMARA</t>
  </si>
  <si>
    <t>65124894-9</t>
  </si>
  <si>
    <t>COOPERATIVA DE SERVICIO DE ABASTECIMIENTO Y DISTRIBUCION DE AGUA POTABLE MIRADOR DE LOS MOLLES</t>
  </si>
  <si>
    <t>65127562-8</t>
  </si>
  <si>
    <t>COOPERATIVA AGRICOLA AYÜNTUE LIMITADA</t>
  </si>
  <si>
    <t>65156231-7</t>
  </si>
  <si>
    <t>COOPERATIVA CAMPESINA PRODUCTORES SILVOAGROPECUARIOS KECHAWE LIMITADA</t>
  </si>
  <si>
    <t>65092807-5</t>
  </si>
  <si>
    <t>COOPERATIVA DE TRABAJO TRASHUMANTE AUDIOVISUAL</t>
  </si>
  <si>
    <t>65093316-8</t>
  </si>
  <si>
    <t>COOPERATIVA AGRICOLA DE PAN DE AZUCAR</t>
  </si>
  <si>
    <t>65126808-7</t>
  </si>
  <si>
    <t>COOPERATIVA CAMPESINA RUMUL MAPU ERCILLA</t>
  </si>
  <si>
    <t>65093771-6</t>
  </si>
  <si>
    <t>COOPERATIVA DE SERVICIOS PARA LA REHABILITACION DE PERSONAS PRIVADAS DE LIBERTAD</t>
  </si>
  <si>
    <t>81290800-6</t>
  </si>
  <si>
    <t>COMPAÑIA AGROPECUARIA COPEVAL S.A. SOCIEDAD ANÓNIMA</t>
  </si>
  <si>
    <t>65094633-2</t>
  </si>
  <si>
    <t>COOPERATIVA CERRADA DE VIVIENDA PAIHUEN LIMITADA</t>
  </si>
  <si>
    <t>65128334-5</t>
  </si>
  <si>
    <t>COOPERATIVA DE TRABAJO MADREKULEBRA</t>
  </si>
  <si>
    <t>65094059-8</t>
  </si>
  <si>
    <t>COOPERATIVA DE TRABAJO BAZAR PUTAMADRE</t>
  </si>
  <si>
    <t>65093459-8</t>
  </si>
  <si>
    <t>COOPERATIVA DE TRABAJO RED GENERA</t>
  </si>
  <si>
    <t>65096518-3</t>
  </si>
  <si>
    <t>COOPERATIVA AGRÍCOLA DE PRODUCTORES ORGÁNICOS DE COIHUECO LIMITADA</t>
  </si>
  <si>
    <t>65094956-0</t>
  </si>
  <si>
    <t>COOPERATIVA DE TRABAJO CULTURAL Y EDITORIAL INFANTIL LIMITADA</t>
  </si>
  <si>
    <t>81629800-8</t>
  </si>
  <si>
    <t>COOPERATIVA ELECTRICA PAILLACO LIMITADA</t>
  </si>
  <si>
    <t>65173827-K</t>
  </si>
  <si>
    <t>COOPERATIVA DE SERVICIOS GENERALES SILOS LIMITADA</t>
  </si>
  <si>
    <t>65149556-3</t>
  </si>
  <si>
    <t>COOPERATIVA DE PESQUERA DEL MAR</t>
  </si>
  <si>
    <t>76724592-0</t>
  </si>
  <si>
    <t>COOPERATIVA DE PESCADORES ARTESANALES DE LEBU LIMITADA</t>
  </si>
  <si>
    <t>65096334-2</t>
  </si>
  <si>
    <t>COOPERATIVA DE ARTESANOS DE NINHUE</t>
  </si>
  <si>
    <t>76618767-6</t>
  </si>
  <si>
    <t>COOPERATIVA DE TRABAJO CALAHUALA, SERVICIOS PARA LA CONSERVACION</t>
  </si>
  <si>
    <t>65093799-6</t>
  </si>
  <si>
    <t>COOPERATIVA DE TRABAJO, GESTION CULTURAL Y EDUCACIONAL MIRABILIA</t>
  </si>
  <si>
    <t>65094336-8</t>
  </si>
  <si>
    <t>COOPERATIVA DE TRABAJO LA CIUDAD POSIBLE</t>
  </si>
  <si>
    <t>65095207-3</t>
  </si>
  <si>
    <t>COOPERATIVA AGROAPICOLA RAPA NUI LIMITADA</t>
  </si>
  <si>
    <t>76720071-4</t>
  </si>
  <si>
    <t>COOPERATIVA VITIVINICOLA Y AGROPECUARIA VALLE MARGA MARGA LIMITADA</t>
  </si>
  <si>
    <t>COOPERATIVA DE AHORRO Y CREDITO MANTENCION CAP LIMITADA</t>
  </si>
  <si>
    <t>65153456-9</t>
  </si>
  <si>
    <t>COOPERATIVA CAMPESINA DE VIÑATEROS, UVERA, VINERAS Y ALCOHOLES DE NINHUE</t>
  </si>
  <si>
    <t>65134885-4</t>
  </si>
  <si>
    <t>COOPERATIVA DE FERIANTES AMBULANTES EL PROGRESO DE LANCO</t>
  </si>
  <si>
    <t>65096497-7</t>
  </si>
  <si>
    <t>COOPERATIVA DE TURISMO Y DESARROLLO TERRITORIAL MAPUCHE</t>
  </si>
  <si>
    <t>65138302-1</t>
  </si>
  <si>
    <t>COOPERATIVA AGRICOLA LECHERA ARCO IRIS LIMITADA</t>
  </si>
  <si>
    <t>65142522-0</t>
  </si>
  <si>
    <t>COOPERATIVA DE SERVICIOS MULTIPLES DE GRUPO DE EMPRESARIOS INDIGENAS URBANOS DE CHILE</t>
  </si>
  <si>
    <t>65147528-7</t>
  </si>
  <si>
    <t>COOPERATIVA AGRICOLA ARTESANAS AYMARAS DE LA PROVINCIA DEL TAMARUGAL LIMITADA</t>
  </si>
  <si>
    <t>65134895-1</t>
  </si>
  <si>
    <t>COOPERATIVA DE BUZOS Y ALGUEROS DE CALETA CHICA</t>
  </si>
  <si>
    <t>82823200-2</t>
  </si>
  <si>
    <t>SOCIEDAD COOPERATIVA DE HUERTOS FAMILIARES MAPUHUE LIMITADA</t>
  </si>
  <si>
    <t>65146582-6</t>
  </si>
  <si>
    <t>COOPERATIVA DE TRABAJO ARAUCANIA HUB</t>
  </si>
  <si>
    <t>65152503-9</t>
  </si>
  <si>
    <t>COOPERATIVA AGRICOLA KÜMEY MAPU DE FREIRE</t>
  </si>
  <si>
    <t>COOPERATIVA DE AHORRO Y CREDITO BANCRECE</t>
  </si>
  <si>
    <t>65145712-2</t>
  </si>
  <si>
    <t>COOPERATIVA AGRICOLA Y CAMPESINA LA COMPAÑIA LIMITADA</t>
  </si>
  <si>
    <t>65147224-5</t>
  </si>
  <si>
    <t>COOPERATIVA DE TRABAJO INCLUSIVA PJ SOLUCIONES</t>
  </si>
  <si>
    <t>65148681-5</t>
  </si>
  <si>
    <t>COOPERATIVA CAMPESINA LICKAN ANTAY</t>
  </si>
  <si>
    <t>65158961-4</t>
  </si>
  <si>
    <t>COOPERATIVA DE TRABAJO DE CONSTRUCCION SUSTENTABLE</t>
  </si>
  <si>
    <t>65180094-3</t>
  </si>
  <si>
    <t>COOPERATIVA ACUICOLA SOLAR Y AGROINDUSTRIAL DE CAMARONES</t>
  </si>
  <si>
    <t>76772305-9</t>
  </si>
  <si>
    <t>COOPERATIVA DE TRABAJO, RECICLAJE, CONSTRUCCION, INVESTIGACION Y EDUCACION CULTURA LIMPIA</t>
  </si>
  <si>
    <t>65147135-4</t>
  </si>
  <si>
    <t>COOPERATIVA CAMPESINA MAPUCHE HUAIQUIL CARIQUEO</t>
  </si>
  <si>
    <t>65135382-3</t>
  </si>
  <si>
    <t>COOPERATIVA DE TRABAJO DE GESTION POR COMPETENCIAS E INNOVACION LIMITADA</t>
  </si>
  <si>
    <t>65148044-2</t>
  </si>
  <si>
    <t>COOPERATIVA DE SERVICIOS, TURISMO Y DEPORTE GENERAL AUSTRAL</t>
  </si>
  <si>
    <t>65164277-9</t>
  </si>
  <si>
    <t>COOPERATIVA DE TRABAJO RECOLECTORES DE EMPEDRADO</t>
  </si>
  <si>
    <t>65152205-6</t>
  </si>
  <si>
    <t>COOPERATIVA DE TRABAJO GRAFICO Y AUDIOVISUAL ANCORA</t>
  </si>
  <si>
    <t>76789885-1</t>
  </si>
  <si>
    <t>COOPERATIVA AGRICOLA DE FRESIA LIMITADA</t>
  </si>
  <si>
    <t>65156516-2</t>
  </si>
  <si>
    <t>COOPERATIVA AGROECOLOGICA, TURISTICA Y CULTURAL MAN PEWMA</t>
  </si>
  <si>
    <t>65157895-7</t>
  </si>
  <si>
    <t>COOPERATIVA CAMPESINA MINGA NEWUEN</t>
  </si>
  <si>
    <t>65149883-K</t>
  </si>
  <si>
    <t>COOPERATIVA MATAQUITO LA PESCA LIMITADA</t>
  </si>
  <si>
    <t>65150152-0</t>
  </si>
  <si>
    <t>VIVECOOP</t>
  </si>
  <si>
    <t>65153646-4</t>
  </si>
  <si>
    <t>COOPERATIVA AGRICOLA Q'URI CH'UXÑA LIMITADA</t>
  </si>
  <si>
    <t>81948700-6</t>
  </si>
  <si>
    <t>COOPERATIVA LUZAGRO LIMITADA</t>
  </si>
  <si>
    <t>65151854-7</t>
  </si>
  <si>
    <t>COOPERATIVA AGRICOLA Y CAMPESINA MALALWE LIMITADA</t>
  </si>
  <si>
    <t>76795684-3</t>
  </si>
  <si>
    <t>COOPERATIVA DE SERVICIOS DE TRANSPORTE ESCOLAR, TURISMO Y OTROS LIMITADA</t>
  </si>
  <si>
    <t>65152627-2</t>
  </si>
  <si>
    <t>COOPERATIVA PESQUERA FLOR DEL MAR LA PAMPINA LIMITADA</t>
  </si>
  <si>
    <t>65151784-2</t>
  </si>
  <si>
    <t>COOPERATIVA AGRICOLA DE PRODUCTORES SEMBRANDO FUTURO LTDA.</t>
  </si>
  <si>
    <t>65152878-K</t>
  </si>
  <si>
    <t>COOPERATIVA AGRICOLA NEWEN AL SUR DE LA ARAUCANIA LIMITADA</t>
  </si>
  <si>
    <t>65155141-2</t>
  </si>
  <si>
    <t>COOPERATIVA CAMPESINA MAPUCHE BUTACURA LIMITADA</t>
  </si>
  <si>
    <t>65153702-9</t>
  </si>
  <si>
    <t>COOPERATIVA PESQUERA VISTA HERMOSA DE CARELMAPU LIMITADA</t>
  </si>
  <si>
    <t>65153429-1</t>
  </si>
  <si>
    <t>COOPERATIVA DE TRABAJO EXPOARTE CURARREHUE LIMITADA</t>
  </si>
  <si>
    <t>65153118-7</t>
  </si>
  <si>
    <t>COOPERATIVA AGRICOLA FRUTOS DE LA ARAUCANIA LIMITADA</t>
  </si>
  <si>
    <t>65180485-K</t>
  </si>
  <si>
    <t>COOPERATIVA AGRICOLA CALETA VITOR</t>
  </si>
  <si>
    <t>65153498-9</t>
  </si>
  <si>
    <t>COOPERATIVA AGRICOLA Y DE SERVICIOS DE PRODUCTORES DE FRUTILLAS DE LA REGION DE O'HIGGINS LTDA</t>
  </si>
  <si>
    <t>65158486-8</t>
  </si>
  <si>
    <t>COOPERATIVA CAMPESINA WE KIMUN</t>
  </si>
  <si>
    <t>65155571-K</t>
  </si>
  <si>
    <t>COOPERATIVA CAMPESINA JUAN HUIRCAO LIMITADA</t>
  </si>
  <si>
    <t>65158641-0</t>
  </si>
  <si>
    <t>COOPERATIVA DE TRABAJO KAUDAL CULTURAL LIMITADA</t>
  </si>
  <si>
    <t>82396700-4</t>
  </si>
  <si>
    <t>COOPERATIVA LUZPAR LIMITADA</t>
  </si>
  <si>
    <t>65154184-0</t>
  </si>
  <si>
    <t>COOPERATIVA DE TRABAJO LLANKALIL LIMITADA</t>
  </si>
  <si>
    <t>65161047-8</t>
  </si>
  <si>
    <t>COOPERATIVA DE TRABAJO DE PRODUCCION Y SERVICIOS CERVECEROS WÜNEN</t>
  </si>
  <si>
    <t>65158599-6</t>
  </si>
  <si>
    <t>COOPERATIVA DE TRABAJO POR EL MEDIO AMBIENTE DE LA PINTANA</t>
  </si>
  <si>
    <t>65155329-6</t>
  </si>
  <si>
    <t>COOPERATIVA CAMPESINA ANTUKO LIMITADA</t>
  </si>
  <si>
    <t>65134707-6</t>
  </si>
  <si>
    <t>COOPERATIVA DE ACCIÓN PEDAGÓGICA DI-VERSOS LIMITADA</t>
  </si>
  <si>
    <t>65158501-5</t>
  </si>
  <si>
    <t>COOPERATIVA AGRICOLA TAPLOM HUICHAHUE LTDA</t>
  </si>
  <si>
    <t>65158122-2</t>
  </si>
  <si>
    <t>COOPERATIVA CAMPESINA EL TOQUI LIMITADA</t>
  </si>
  <si>
    <t>65158183-4</t>
  </si>
  <si>
    <t>COOPERATIVA AGRICOLA DE PRODUCTORAS PUCHILCO LTDA.</t>
  </si>
  <si>
    <t>65158439-6</t>
  </si>
  <si>
    <t>COOPERATIVA CAMPESINA  PEWU ANTU LIMITADA</t>
  </si>
  <si>
    <t>65160701-9</t>
  </si>
  <si>
    <t>COOPERATIVA DE TRABAJO LIKEN</t>
  </si>
  <si>
    <t>65163823-2</t>
  </si>
  <si>
    <t>COOPERATIVA DE TRABAJO TIERRA PROMETIDA</t>
  </si>
  <si>
    <t>65160127-4</t>
  </si>
  <si>
    <t>COOPERATIVA DE TRABAJO MATRISTICA AUSTRAL LIMITADA</t>
  </si>
  <si>
    <t>65165329-0</t>
  </si>
  <si>
    <t>COOPERATIVA DE SERVICIOS PARA LA INDUSTRIA NARRATIVA GRAFICA LIMITADA</t>
  </si>
  <si>
    <t>65167211-2</t>
  </si>
  <si>
    <t>COOPERATIVA CAMPESINA AYSEN PATAGONIA VERDE LIMITADA</t>
  </si>
  <si>
    <t>65163196-3</t>
  </si>
  <si>
    <t>COOPERATIVA AGRICOLA FERIA PLAZA PINTO LIMITADA</t>
  </si>
  <si>
    <t>65164294-9</t>
  </si>
  <si>
    <t>COOPERATIVA ARTE EN MANOS VIRTUOSAS</t>
  </si>
  <si>
    <t>65161297-7</t>
  </si>
  <si>
    <t>COOPERATIVA AGRICOLA Y QUESERA DE LOS RIOS LIMITADA</t>
  </si>
  <si>
    <t>65168762-4</t>
  </si>
  <si>
    <t>COOPERATIVA ELECTRICA LA INVERNADA DEL CONVENTO</t>
  </si>
  <si>
    <t>81585900-6</t>
  </si>
  <si>
    <t>COOPERATIVA ELECTRICA LOS ANGELES LIMITADA</t>
  </si>
  <si>
    <t>65168124-3</t>
  </si>
  <si>
    <t>COOPERATIVA NACIONAL ODONTOLOGICA</t>
  </si>
  <si>
    <t>65171992-5</t>
  </si>
  <si>
    <t>COOPERATIVA DE PRODUCTORES CAMPESINOS FUENTES HUECHE</t>
  </si>
  <si>
    <t>65169361-6</t>
  </si>
  <si>
    <t>COOPERATIVA DE TRABAJO KINCHA</t>
  </si>
  <si>
    <t>65168941-4</t>
  </si>
  <si>
    <t>COOPERATIVA DE TRABAJO GRAN LONKO LIMITADA</t>
  </si>
  <si>
    <t>65163552-7</t>
  </si>
  <si>
    <t>COOPERATIVA AGRICOLA Y DE TURISMO SAN LUIS DE ALBA LIMITADA</t>
  </si>
  <si>
    <t>76868767-6</t>
  </si>
  <si>
    <t>COOPERATIVA AGRICOLA Y DE TURISMO DE MUJERES DE LOS RIOS LIMITADA</t>
  </si>
  <si>
    <t>65168807-8</t>
  </si>
  <si>
    <t>COOPERATIVA AGRICOLA LIWEN LIMITADA</t>
  </si>
  <si>
    <t>65166859-k</t>
  </si>
  <si>
    <t>COOPERATIVA AGRICOLA VITIVINICOLA EL MEJOR VINO PAIS LIMITADA</t>
  </si>
  <si>
    <t>65167352-6</t>
  </si>
  <si>
    <t>COOPERATIVA DE TRABAJO SERVICIOS DE SEGURIDAD BARRANCAS</t>
  </si>
  <si>
    <t>65174157-2</t>
  </si>
  <si>
    <t>ASOCIACION NACIONAL DE COOPERATIVAS DE CHILE</t>
  </si>
  <si>
    <t>65167881-1</t>
  </si>
  <si>
    <t>COOPERATIVA DE TRABAJO DEL CERDO AVELLANERO DE LA COMUNA DE LUMACO</t>
  </si>
  <si>
    <t>65168122-7</t>
  </si>
  <si>
    <t>COOPERATIVA DE TRABAJO EN SOFTWARE LIBRE Y TECNOLOGIAS DE LA INFORMACION ITCOOP LIMITADA</t>
  </si>
  <si>
    <t>65167011-K</t>
  </si>
  <si>
    <t>COOPERATIVA DE SERVICIOS DE DIFUSION Y PUBLICIDAD LIMITADA</t>
  </si>
  <si>
    <t>65169605-4</t>
  </si>
  <si>
    <t>COOPERATIVA AGRÍCOLA Y VITIVINÍCOLA CAUPOLICÁN LIMITADA</t>
  </si>
  <si>
    <t>53331807-k</t>
  </si>
  <si>
    <t>COOPERATIVA DE SERVICIOS TURISTICOS CARAMUCHO</t>
  </si>
  <si>
    <t>65170766-8</t>
  </si>
  <si>
    <t>COOPERATIVA AGRICOLA MERKEN  DE NAHUELBUTA LIMITADA</t>
  </si>
  <si>
    <t>76911877-2</t>
  </si>
  <si>
    <t>COOPERATIVA AGRICOLA GENTE DE LA TIERRA LIMITADA</t>
  </si>
  <si>
    <t>65168034-4</t>
  </si>
  <si>
    <t>COOPERATIVA MAPUCHE DE TRABAJO TRAWUN KO</t>
  </si>
  <si>
    <t>76917468-0</t>
  </si>
  <si>
    <t>COOPERATIVA CAMPESINA CHILOE TURISMO RURAL LIMITADA</t>
  </si>
  <si>
    <t>65176086-0</t>
  </si>
  <si>
    <t>COOPERATIVA DE TRABAJO PROYECTO ESPERANZA</t>
  </si>
  <si>
    <t>65170664-5</t>
  </si>
  <si>
    <t>COOPERATIVA AGRICOLA DE PRODUCTOS ORGANICOS MARIA HORTENCIA LIMITADA</t>
  </si>
  <si>
    <t>65169781-6</t>
  </si>
  <si>
    <t>COOPERATIVA MULTIACTIVA DE SERVICIOS INTEGRALES PANGUISUR</t>
  </si>
  <si>
    <t>65168564-8</t>
  </si>
  <si>
    <t>COOPERATIVA AGRICOLA PATRON ESPIRAL NEWEN LIMITADA</t>
  </si>
  <si>
    <t>65180351-9</t>
  </si>
  <si>
    <t>COOPERATIVA DE TRABAJO ROSAS SILVESTRES LIMITADA</t>
  </si>
  <si>
    <t>80238000-3</t>
  </si>
  <si>
    <t>SOCIEDAD COOPERATIVA DE CONSUMO DE ENERGIA ELECTRICA CHARRUA LIMITADA.</t>
  </si>
  <si>
    <t>65170311-5</t>
  </si>
  <si>
    <t>COOPERATIVA ALGUERA PESQUERA CORRAL</t>
  </si>
  <si>
    <t>65170623-8</t>
  </si>
  <si>
    <t>COOPERATIVA DE TRABAJO RUEDA</t>
  </si>
  <si>
    <t>65171568-7</t>
  </si>
  <si>
    <t>COOPERATIVA DE TRABAJO DE TURISMO MELIPEUCO LIMITADA</t>
  </si>
  <si>
    <t>65170879-6</t>
  </si>
  <si>
    <t>COOPERATIVA CAMPESINA MARRI NEWEN LIMITADA</t>
  </si>
  <si>
    <t>65171708-6</t>
  </si>
  <si>
    <t>COOPERATIVA DE TRABAJADORAS Y TRABAJADORES TEMPORALES</t>
  </si>
  <si>
    <t>65190285-1</t>
  </si>
  <si>
    <t>COOPERATIVA AGRICOLA HUAPI LIMITADA</t>
  </si>
  <si>
    <t>65172215-2</t>
  </si>
  <si>
    <t>COOPERATIVA CAMPESINA MUJERES DE PELARCO</t>
  </si>
  <si>
    <t>65172254-3</t>
  </si>
  <si>
    <t>COOPERATIVA DE TRABAJO INCLUSIVO, SIN BARRERAS</t>
  </si>
  <si>
    <t>65179505-2</t>
  </si>
  <si>
    <t>COOPERATIVA CAMPESINA MALLOA LIMITADA</t>
  </si>
  <si>
    <t>65173382-0</t>
  </si>
  <si>
    <t>COOPERATIVA CAMPESINA RAYEN TUKUKAN LIMITADA</t>
  </si>
  <si>
    <t>65174188-2</t>
  </si>
  <si>
    <t>COOPERATIVA AGRICOLA ALTAS CUMBRES DE CHINCOLCO LIMITADA</t>
  </si>
  <si>
    <t>65170958-K</t>
  </si>
  <si>
    <t>COOPERATIVA MULTIACTIVA DE SERVICIOS, AGROPECUARIA, TURISMO Y TRANSPORTE MISHKIHUE</t>
  </si>
  <si>
    <t>65173922-5</t>
  </si>
  <si>
    <t>COOPERATIVA DE COMERCIO Y TURISMO DE LOS VILOS</t>
  </si>
  <si>
    <t>65174595-0</t>
  </si>
  <si>
    <t>COOPERATIVA CAMPESINA UFISA LIMITADA</t>
  </si>
  <si>
    <t>65174404-0</t>
  </si>
  <si>
    <t>COOPERATIVA CAMPESINA CODINHUE BAJO LIMITADA</t>
  </si>
  <si>
    <t>65175659-6</t>
  </si>
  <si>
    <t>COOPERATIVA CAMPESINA NOCEDALES DEL CHOAPA LTDA</t>
  </si>
  <si>
    <t>65177189-7</t>
  </si>
  <si>
    <t>COOPERATIVA DE TRABAJO SINCABEZA LIMITADA</t>
  </si>
  <si>
    <t>65191586-4</t>
  </si>
  <si>
    <t>COOPERATIVA DE TRANSPORTE DE LOS RIOS</t>
  </si>
  <si>
    <t>65176429-7</t>
  </si>
  <si>
    <t>CIRCO PERMANENTE COOPERATIVA DE TRABAJO LIMITADA</t>
  </si>
  <si>
    <t>65172967-K</t>
  </si>
  <si>
    <t>COOPERATIVA CAMPESINA ARTESANAS DE LIHUENO ALTO</t>
  </si>
  <si>
    <t>65181862-1</t>
  </si>
  <si>
    <t>COOPERATIVA AGRICOLA Y GANADERA DE OVINOS DE LOS RIOS LIMITADA</t>
  </si>
  <si>
    <t>65175644-8</t>
  </si>
  <si>
    <t>COOPERATIVA AGRICOLA MAILEN LIMITADA</t>
  </si>
  <si>
    <t>65174966-2</t>
  </si>
  <si>
    <t>COOPERATIVA DE AGROTURISMO MAPUCHE BUDI NEWEN</t>
  </si>
  <si>
    <t>65175402-k</t>
  </si>
  <si>
    <t>COOPERATIVA ARMADORES PESQUEROS ARTESANALES DE QUEULE</t>
  </si>
  <si>
    <t>65173601-3</t>
  </si>
  <si>
    <t>COOPERATIVA DE SERVICIOS TURISTICOS DE CURACAUTIN</t>
  </si>
  <si>
    <t>53332163-1</t>
  </si>
  <si>
    <t>COOPERATIVA DE SERVICIOS MULTIPLES DE TRANSPORTISTAS</t>
  </si>
  <si>
    <t>65176594-3</t>
  </si>
  <si>
    <t>COOPERATIVA CAMPESINA Y SERVICIOS SILVOAGROPECUARIOS PUELPUN DE LA COMUNA DE MAULLIN LIMITADA</t>
  </si>
  <si>
    <t>65174782-1</t>
  </si>
  <si>
    <t>COOPERATIVA DE SERVICIOS CAMPESINOS COAGRICOM LIMITADA</t>
  </si>
  <si>
    <t>65182117-7</t>
  </si>
  <si>
    <t>COOPERATIVA DE SERVICIOS LIGA COOPERATIVA DE FUTBOL</t>
  </si>
  <si>
    <t>65176829-2</t>
  </si>
  <si>
    <t>COOPERATIVA DE SERVICIOS ORIGENES</t>
  </si>
  <si>
    <t>65176805-5</t>
  </si>
  <si>
    <t>COOPERATIVA CAMPESINA TRADICIONES DEL VALLE DEL LIMARI LIMITADA</t>
  </si>
  <si>
    <t>65184552-1</t>
  </si>
  <si>
    <t>COOPERATIVA CAMPESINA LILIUM DE ÑANCULEN LIMITADA</t>
  </si>
  <si>
    <t>65190879-5</t>
  </si>
  <si>
    <t>COOPERATIVA CAMPESINA DE HORTALICEROS DE ÑUBLE LIMITADA</t>
  </si>
  <si>
    <t>65178401-8</t>
  </si>
  <si>
    <t>COOPERATIVA AGROPECUARIA APIQUEEN DE MONTE PATRIA</t>
  </si>
  <si>
    <t>65177511-6</t>
  </si>
  <si>
    <t>COOPERATIVA AGRICOLA TORRENCIAL LECHERO</t>
  </si>
  <si>
    <t>65177359-8</t>
  </si>
  <si>
    <t>FEDERACION DE COOPERATIVAS MULTIACTIVAS DEL SUR</t>
  </si>
  <si>
    <t>65179477-3</t>
  </si>
  <si>
    <t>COOPERATIVA DE SERVICIOS AGRICOLAS DE PAMPA CONCORDIA</t>
  </si>
  <si>
    <t>77099001-7</t>
  </si>
  <si>
    <t>COOPERATIVA AGRICOLA COOPEMAD ARAUCO LIMITADA</t>
  </si>
  <si>
    <t>65177998-7</t>
  </si>
  <si>
    <t>COOPERATIVA AGRICOLA PRODUCTORES DEL TAMAYA</t>
  </si>
  <si>
    <t>65173952-7</t>
  </si>
  <si>
    <t>COOPERATIVA AGRICOLA LLAÑIWE LIMITADA</t>
  </si>
  <si>
    <t>65181721-8</t>
  </si>
  <si>
    <t>COOPERATIVA PESQUERA DEL SUR</t>
  </si>
  <si>
    <t>65183665-4</t>
  </si>
  <si>
    <t>COOPERATIVA CAMPESINA EL AVELLANO LIMITADA</t>
  </si>
  <si>
    <t>65182069-3</t>
  </si>
  <si>
    <t>COOPERATIVA DE TRABAJO LEGADO LIMPIO</t>
  </si>
  <si>
    <t>53333736-8</t>
  </si>
  <si>
    <t>COOPERATIVA DE TRABAJO DE MANTENCION DE AREAS VERDES LIMITADA</t>
  </si>
  <si>
    <t>65183996-3</t>
  </si>
  <si>
    <t>COOPERATIVA AGRICOLA SAN JOSE DE LLAMUCO LIMITADA</t>
  </si>
  <si>
    <t>65183586-0</t>
  </si>
  <si>
    <t>FEDERACION NACIONAL DE COOPERATIVAS DE TRABAJO</t>
  </si>
  <si>
    <t>65182199-1</t>
  </si>
  <si>
    <t>COOPERATIVA AGRICOLA LOF MAPU TOKIWE LIMITADA</t>
  </si>
  <si>
    <t>65186802-5</t>
  </si>
  <si>
    <t>COOPERATIVA CAMPESINA WESTERMEIER LIMITADA</t>
  </si>
  <si>
    <t>65187178-6</t>
  </si>
  <si>
    <t>COOPERATIVA AGRICOLA Y DE SERVICIOS CUATRO VIENTOS LIMITADA</t>
  </si>
  <si>
    <t>65187929-9</t>
  </si>
  <si>
    <t>COOPERATIVA DE PRODUCTORES DE AJI Y MERKEN DE SANTA JUANA</t>
  </si>
  <si>
    <t>65187312-6</t>
  </si>
  <si>
    <t>COOPERATIVA INTERCULTURAL DE TRABAJO LOS ARENALES</t>
  </si>
  <si>
    <t>65191344-6</t>
  </si>
  <si>
    <t>COOPERATIVA CAMPESINA ECO SIEMBRA LIMITADA</t>
  </si>
  <si>
    <t>65196995-6</t>
  </si>
  <si>
    <t>COOPERATIVA PESCADORES CHAIHUIN ILLIHUE INALAF LIMITADA</t>
  </si>
  <si>
    <t>65184066-K</t>
  </si>
  <si>
    <t>COOPERATIVA DE TURISMO BORDE COSTERO TOME</t>
  </si>
  <si>
    <t>65187087-9</t>
  </si>
  <si>
    <t>COOPERATIVA DE PESCADORES ARTESANALES, PRODUCTORES DE MITILIDOS, BUZOS MARISCADORES Y RECOLECTORES DE ORILLA DE CALETA CHOLGO LIMITADA</t>
  </si>
  <si>
    <t>65187293-6</t>
  </si>
  <si>
    <t>COOPERATIVA AGRICOLA Y CAMPESINA LOS MALLINES</t>
  </si>
  <si>
    <t>65181221-6</t>
  </si>
  <si>
    <t>COOPERATIVA AGRICOLA DE FLORES ANTU MALEN LIMITADA</t>
  </si>
  <si>
    <t>65185246-3</t>
  </si>
  <si>
    <t>COOPERATIVA MULTIACTIVA DE SERVICIOS Y COMERCIO PLAZUELA BERLIN</t>
  </si>
  <si>
    <t>65195391-K</t>
  </si>
  <si>
    <t>COOPERATIVA CAMPESINA AYMARA TEXTIL DE CAMIÑA</t>
  </si>
  <si>
    <t>65188416-0</t>
  </si>
  <si>
    <t>COOPERATIVA DE TRABAJO CASA JUSTA</t>
  </si>
  <si>
    <t>65187792-k</t>
  </si>
  <si>
    <t>COOPERATIVA CAMPESINA DE PRODUCTORES OVINOS DE SAN JUAN DE LA COSTA LIMITADA</t>
  </si>
  <si>
    <t>70217600-K</t>
  </si>
  <si>
    <t>COOPERATIVA DE VIVIENDA Y SERVICIOS HABITACIONALES "TENIENTE SERRANO " LIMITADA</t>
  </si>
  <si>
    <t>65188703-8</t>
  </si>
  <si>
    <t>COOPERATIVA CAMPESINA SUSTENTABLE TIERRA VERDE LIMITADA</t>
  </si>
  <si>
    <t>65186136-5</t>
  </si>
  <si>
    <t>COOPERATIVA CAMPESINA SANTA ROSA ALTO</t>
  </si>
  <si>
    <t>65186388-0</t>
  </si>
  <si>
    <t>COOPERATIVA CAMPESINA MUJERES EMPRENDEDORAS DE CHANCO</t>
  </si>
  <si>
    <t>77081605-K</t>
  </si>
  <si>
    <t>COOPERATIVA DE SERVICIOS MIMBRE ENTRE NIEBLA LIMITADA</t>
  </si>
  <si>
    <t>65191545-7</t>
  </si>
  <si>
    <t>COOPERATIVA CAMPESINA JUAN QUEUPUCURA</t>
  </si>
  <si>
    <t>65188438-1</t>
  </si>
  <si>
    <t>COOPERATIVA AGRICOLA Y FORESTAL MONTE VERDE LIMITADA</t>
  </si>
  <si>
    <t>65192377-8</t>
  </si>
  <si>
    <t>COOPERATIVA ACUICOLA CHAÑIHUE</t>
  </si>
  <si>
    <t>65189735-1</t>
  </si>
  <si>
    <t>COOPERATIVA MULTIACTIVA DE SERVICIOS ESPACIO DISEÑO AUSTRAL</t>
  </si>
  <si>
    <t>65189523-5</t>
  </si>
  <si>
    <t>COOPERATIVA AGROINDUSTRIAL Y DE SERVICIOS KOONEK PATAGONIA BERRIES</t>
  </si>
  <si>
    <t>65181978-4</t>
  </si>
  <si>
    <t>TRAVESIA COOPERATIVA DE TRABAJO PARA LA PRODUCCION, RECOLECCION Y COMERCIALIZACION DE PRODUCTOS AGROECOLOGICOS EN MEDIOS CAMPESINOS, PESQUERO, ARTESANIA, TURISMO Y CULTURA</t>
  </si>
  <si>
    <t>65189895-1</t>
  </si>
  <si>
    <t>COOPERATIVA CAMPESINA ILUSIONES DE FOLLECO LIMITADA</t>
  </si>
  <si>
    <t>65191981-9</t>
  </si>
  <si>
    <t>COOPERATIVA AGRICOLA CACHAPOAL SUR</t>
  </si>
  <si>
    <t>53334604-9</t>
  </si>
  <si>
    <t>COOPERATIVA TURISMO COMUNITARIO QUIPISCA ANCESTRAL LIMITADA</t>
  </si>
  <si>
    <t>65191125-7</t>
  </si>
  <si>
    <t>COOPERATIVA MEDICINA Y SALUD INTEGRAL  LIMITADA</t>
  </si>
  <si>
    <t>65190213-4</t>
  </si>
  <si>
    <t>COOPERATIVA AGRICOLA DE CHONCHI</t>
  </si>
  <si>
    <t>65189461-1</t>
  </si>
  <si>
    <t>COOPERATIVA CAMPESINA HUERTOS LOS ESTEROS CORDILLERA LIMITADA</t>
  </si>
  <si>
    <t>65190654-7</t>
  </si>
  <si>
    <t>COOPERATIVA AGRICOLA ALTO LONCOYAMO</t>
  </si>
  <si>
    <t>65190147-2</t>
  </si>
  <si>
    <t>COOPERATIVA AGRICOLA Y DE ARTESANAS PRODUCTORAS AYMARAS AYNI LIMITADA</t>
  </si>
  <si>
    <t>65186111-k</t>
  </si>
  <si>
    <t>COOPERATIVA AGRICOLA PRODUCTORES, LECHEROS Y CRIANCEROS DE GANADO CAPRINO DEL VALLE DE PETORCA LIMITADA</t>
  </si>
  <si>
    <t>53332342-1</t>
  </si>
  <si>
    <t>COOPERATIVA AGRICOLA CON FIN DE LUCRO QUEBRADA DEL SOL LIMITADA</t>
  </si>
  <si>
    <t>65190183-9</t>
  </si>
  <si>
    <t>COOPERATIVA CAMPESINA Y COMERCIAL MIMBRALES LIMITADA</t>
  </si>
  <si>
    <t>65190754-3</t>
  </si>
  <si>
    <t>COOPERATIVA DE TRABAJO Y PRODUCCION AYELEN</t>
  </si>
  <si>
    <t>65190976-7</t>
  </si>
  <si>
    <t>COOPERATIVA AGRICOLA NEWEN MAPU LIMITADA</t>
  </si>
  <si>
    <t>65193536-9</t>
  </si>
  <si>
    <t>COOPERATIVA DE SERVICIOS TURISTICOS DE PUERTO FUY</t>
  </si>
  <si>
    <t>65193851-1</t>
  </si>
  <si>
    <t>COOPERATIVA DE SERVICIOS GASTRONOMICOS , TURISTICOS Y PESQUEROS LOS COLMILLOS DE CHAIHUIN</t>
  </si>
  <si>
    <t>65193609-8</t>
  </si>
  <si>
    <t>COOPERATIVA DE TRABAJO DE DISEÑO Y SERIGRAFIA</t>
  </si>
  <si>
    <t>65194263-2</t>
  </si>
  <si>
    <t>COOPERATIVA DE TRABAJO ÑUKE MAPU DE ÚLTIMA ESPERANZA</t>
  </si>
  <si>
    <t>65149961-5</t>
  </si>
  <si>
    <t>COOPERATIVA DE TURISMO DALCAS</t>
  </si>
  <si>
    <t>65194607-7</t>
  </si>
  <si>
    <t>COOPERATIVA AGRICOLA CHEUQUE HERMANOS LIMITADA</t>
  </si>
  <si>
    <t>65190135-9</t>
  </si>
  <si>
    <t>COOPERATIVA AGRICOLA NORTE FRESCO LIMITADA</t>
  </si>
  <si>
    <t>65191917-7</t>
  </si>
  <si>
    <t>COOPERATIVA DE TRABAJO KECHU NEWEN MAPU LIMITADA</t>
  </si>
  <si>
    <t>77119422-2</t>
  </si>
  <si>
    <t>COOPERATIVA SERVICIOS DE RECICLAJE TRES CERROS LIMITADA</t>
  </si>
  <si>
    <t>65188951-0</t>
  </si>
  <si>
    <t>COOPERATIVA CAMPESINA HORTALIZAS DE MI CASA LIMITADA</t>
  </si>
  <si>
    <t>65188969-3</t>
  </si>
  <si>
    <t>COOPERATIVA CAMPESINA NOBLE PORFIA LIMITADA</t>
  </si>
  <si>
    <t>65192449-9</t>
  </si>
  <si>
    <t>COOPERATIVA CAMPESINA RAYEN DAWE</t>
  </si>
  <si>
    <t>65191762-K</t>
  </si>
  <si>
    <t>COOPERATIVA PESQUERA DE DUAO LIMITADA</t>
  </si>
  <si>
    <t>65192511-8</t>
  </si>
  <si>
    <t>COOPERATIVA CAMPESINA VERFRUT REYMAWUEN LIMITADA</t>
  </si>
  <si>
    <t>82865900-6</t>
  </si>
  <si>
    <t>COOPERATIVA AGRICOLA BERNARDO O´HIGGINS LTDA.</t>
  </si>
  <si>
    <t>65182567-9</t>
  </si>
  <si>
    <t>COOPERATIVA AGRICOLA DE PRODUCTORES HORTOFRUTICOLAS ANGOL-RENAICO LIMITADA</t>
  </si>
  <si>
    <t>65192778-1</t>
  </si>
  <si>
    <t>COOPERATIVA AGROPECUARIA TRAFKIN</t>
  </si>
  <si>
    <t>65193524-5</t>
  </si>
  <si>
    <t>COOPERATIVA DE TRABAJO INTEGRAL DE TAXISTAS INDEPENDIENTE</t>
  </si>
  <si>
    <t>65193426-5</t>
  </si>
  <si>
    <t>COOPERATIVA DE TRABAJO COMUNICACION Y ARTE</t>
  </si>
  <si>
    <t>65207392-1</t>
  </si>
  <si>
    <t>COOPERATIVA AGRICOLA Y CAMPESINA SUPERANDO SUEÑOS</t>
  </si>
  <si>
    <t>65194014-1</t>
  </si>
  <si>
    <t>COOPERATIVA CAMPESINA TRES PIEDRAS</t>
  </si>
  <si>
    <t>65193665-9</t>
  </si>
  <si>
    <t>COOPERATIVA AGRICOLA GANADEROS DEL SECANO</t>
  </si>
  <si>
    <t>65195062-7</t>
  </si>
  <si>
    <t>COOPERATIVA DE TRABAJO Y TURISMO ESSENTIAL SOUTHAMERICA</t>
  </si>
  <si>
    <t>65182433-8</t>
  </si>
  <si>
    <t>COOPERATIVA AGRICOLA Y DE SERVICIOS TAGUA TAGUA FOOD</t>
  </si>
  <si>
    <t>65195053-8</t>
  </si>
  <si>
    <t>COOPERATIVA AGRICOLA VALLE DE CAMIÑA LIMITADA</t>
  </si>
  <si>
    <t>65188743-7</t>
  </si>
  <si>
    <t>COOPERATIVA DE TRABAJO ALIANZA JOVENES RAICES DE AYSEN</t>
  </si>
  <si>
    <t>65194518-6</t>
  </si>
  <si>
    <t>COOPERATIVA DE SERVICIOS MULTIPLES Y TRANSPORTES GLOBALES</t>
  </si>
  <si>
    <t>53334219-1</t>
  </si>
  <si>
    <t>COOPERATIVA AGRICOLA AGROAPICOLA DEL DESIERTO DE TARAPACA LTDA</t>
  </si>
  <si>
    <t>65192683-1</t>
  </si>
  <si>
    <t>COOPERATIVA AGRICOLA API O'HIGGINS CHILE LTDA</t>
  </si>
  <si>
    <t>65193156-8</t>
  </si>
  <si>
    <t>COOPERATIVA CERVECERA INDEPENDIENTE DE PANGUIPULLI</t>
  </si>
  <si>
    <t>65195197-6</t>
  </si>
  <si>
    <t>COOPERATIVA AGROECOLOGICA DE PICA LIMITADA</t>
  </si>
  <si>
    <t>65195516-5</t>
  </si>
  <si>
    <t>COOPERATIVA DE TRABAJO DE ASEO INDUSTRIAL COOTASIN</t>
  </si>
  <si>
    <t>65192838-9</t>
  </si>
  <si>
    <t>COOPERATIVA DE SERVICIOS MULTIPLES HORTINCLUSIVA</t>
  </si>
  <si>
    <t>65191605-4</t>
  </si>
  <si>
    <t>COOPERATIVA DE AGRICULTURA LIMPIA PACHAMAMA DE QUILLOTA LIMITADA</t>
  </si>
  <si>
    <t>53334890-4</t>
  </si>
  <si>
    <t>COOPERATIVA DE SERVICIOS LAGO RIÑIHUE</t>
  </si>
  <si>
    <t>53334413-5</t>
  </si>
  <si>
    <t>COOPERATIVA DE VIVIENDAS VALLE SAN FRANCISCO DE MOSTAZAL</t>
  </si>
  <si>
    <t>65196482-2</t>
  </si>
  <si>
    <t>COOPERATIVA AGRICOLA MAPU HUAPITRIO LIMITADA</t>
  </si>
  <si>
    <t>53333763-5</t>
  </si>
  <si>
    <t>COOPERATIVA DE LOS TRABAJADORES DE FRIOSUR LIMITADA</t>
  </si>
  <si>
    <t>53333708-2</t>
  </si>
  <si>
    <t>COOPERATIVA OLIVICOLA EL HUESO</t>
  </si>
  <si>
    <t>65196144-0</t>
  </si>
  <si>
    <t>COOPERATIVA ARTISTICA Y DIGITAL RONDA LIMITADA</t>
  </si>
  <si>
    <t>53333766-K</t>
  </si>
  <si>
    <t>COOPERATIVA DE TRABAJO DE SERVICIOS AMBIENTALES ECOOPERATIVA</t>
  </si>
  <si>
    <t>65192133-3</t>
  </si>
  <si>
    <t>COOPERATIVA DE PESCADORES DE LANGOSTAS ISLA ALEJANDRO SELKIRK</t>
  </si>
  <si>
    <t>65196218-8</t>
  </si>
  <si>
    <t>COOPERATIVA DE SERVICIOS ARTESANAS Y BIBLIOEMPRENDEDORAS DE ATACAMA</t>
  </si>
  <si>
    <t>65195395-2</t>
  </si>
  <si>
    <t>COOPERATIVA VIÑEDOS ESPERANZA DE LA COSTA LIMITADA</t>
  </si>
  <si>
    <t>65196211-0</t>
  </si>
  <si>
    <t>COOPERATIVA DE TRABAJO COLABORATIVA DIGITAL CONECTANDO TECNICA Y CREATIVIDAD</t>
  </si>
  <si>
    <t>77332939-7</t>
  </si>
  <si>
    <t>COOPERATIVA AGRICOLA SILVOAGROPECUARIA FRUTOS DE POCOYAN LIMITADA</t>
  </si>
  <si>
    <t>65135629-6</t>
  </si>
  <si>
    <t>COOPERATIVA DE TRABAJO APICOLA APIHUASCO</t>
  </si>
  <si>
    <t>65196326-5</t>
  </si>
  <si>
    <t>COOPERATIVA MULTIACTIVA DE TRABAJO Y SERVICIOS DEL MAULE</t>
  </si>
  <si>
    <t>65196344-3</t>
  </si>
  <si>
    <t>COOPERATIVA DE SERVICIOS GEOCOOP</t>
  </si>
  <si>
    <t>53334459-3</t>
  </si>
  <si>
    <t>COOPERATIVA DE SERVICIOS DE OPERADORES TURISTICOS Y DEPORTE AVENTURA BASE CAMP ARICA LIMITADA</t>
  </si>
  <si>
    <t>65203465-9</t>
  </si>
  <si>
    <t>COOPERATIVA AGRICOLA NATURAL SUR LIMITADA</t>
  </si>
  <si>
    <t>65196494-6</t>
  </si>
  <si>
    <t>COOPERATIVA SERVICIOS TURISTICOS Y AGRICOLAS QUEHUI ISLA PATRIMONIAL</t>
  </si>
  <si>
    <t>65196438-5</t>
  </si>
  <si>
    <t>COOPERATIVA CAMPESINA AGROECOLOGICA DE MUJERES DE OSORNO</t>
  </si>
  <si>
    <t>65165518-8</t>
  </si>
  <si>
    <t>COOPERATIVA DE SERVICIOS AGROINDUSTRIALES COCOROCOOP LIMITADA</t>
  </si>
  <si>
    <t>65197292-2</t>
  </si>
  <si>
    <t>COOPERATIVA AGROPECUARIA Y TURISTICA AGROKOYAN LIMITADA</t>
  </si>
  <si>
    <t>65196745-7</t>
  </si>
  <si>
    <t>COOPERATIVA DE SERVICIOS FINANCIEROS BANCAME</t>
  </si>
  <si>
    <t>65196791-0</t>
  </si>
  <si>
    <t>COOPERATIVA DE TRABAJO RIO SECO</t>
  </si>
  <si>
    <t>65200931-k</t>
  </si>
  <si>
    <t>COOPERATIVA CAMPESINA Y ARTESANAL MANOS DE CORRALONES</t>
  </si>
  <si>
    <t>65197185-3</t>
  </si>
  <si>
    <t>COOPERATIVA PESQUERA TRABAJADORES DEL MAR DE LEBU</t>
  </si>
  <si>
    <t>65197055-5</t>
  </si>
  <si>
    <t>COOPERATIVA CERRADA DE VIVIENDA, SERVICIOS HABITACIONALES LOS CASTAÑOS LTDA.</t>
  </si>
  <si>
    <t>65193938-0</t>
  </si>
  <si>
    <t>COOPERATIVA DE TRABAJO SERVICIOS TURISTICOS CAJON DEL MAIPO</t>
  </si>
  <si>
    <t>53325939-1</t>
  </si>
  <si>
    <t>COOPERATIVA AGRICOLA RURAL VALLE LACUSTRE LIMITADA</t>
  </si>
  <si>
    <t>65200366-4</t>
  </si>
  <si>
    <t>COOPERATIVA DE SERVICIOS DE LA HIGUERA</t>
  </si>
  <si>
    <t>65199918-9</t>
  </si>
  <si>
    <t>COOPERATIVA DE APICULTORES ORGANICOS DE CHILE</t>
  </si>
  <si>
    <t>65199135-8</t>
  </si>
  <si>
    <t>COOPERATIVA AGRICOLA RAGKO LIMITADA</t>
  </si>
  <si>
    <t>65139287-K</t>
  </si>
  <si>
    <t>COOPERATIVA PESQUERA Y COMERCIALIZADORA DE LA HERRADURA</t>
  </si>
  <si>
    <t>65205598-2</t>
  </si>
  <si>
    <t>COOPERATIVA DE TRABAJO ORIGAMI</t>
  </si>
  <si>
    <t>65218587-8</t>
  </si>
  <si>
    <t>COOPERATIVA AGRICOLA PEHUENCHE TRAWUN KO LIMITADA</t>
  </si>
  <si>
    <t>65200876-3</t>
  </si>
  <si>
    <t>COOPERATIVA AGRICOLA ACHIMIEL</t>
  </si>
  <si>
    <t>65199164-1</t>
  </si>
  <si>
    <t>COOPERATIVA DE PRODUCCION MINERA DE MANQUEHUA LIMITADA</t>
  </si>
  <si>
    <t>77576205-5</t>
  </si>
  <si>
    <t>COOPERATIVA DE TRABAJO RECICLADORES DE BASE LA CHIMBA SUSTENTABLE LTDA</t>
  </si>
  <si>
    <t>65199806-9</t>
  </si>
  <si>
    <t>COOPERATIVA DE REPARTOS WERKEN</t>
  </si>
  <si>
    <t>65203213-3</t>
  </si>
  <si>
    <t>COOPERATIVA DE SERVICIOS DE ABASTECIMIENTO LA BALANZA</t>
  </si>
  <si>
    <t>65199396-2</t>
  </si>
  <si>
    <t>COOPERATIVA DE LA CARNE LOS RIOS</t>
  </si>
  <si>
    <t>65215735-1</t>
  </si>
  <si>
    <t>COOPERATIVA DE PRODUCCION HIDROPONICA DE LUPULOS</t>
  </si>
  <si>
    <t>65203975-8</t>
  </si>
  <si>
    <t>COOPERATIVA DE SERVICIOS MINEROS ANTU LIMITADA</t>
  </si>
  <si>
    <t>65201873-4</t>
  </si>
  <si>
    <t>COOPERATIVA DE TRABAJO SALINAS MATTA SALMACOOP LIMITADA</t>
  </si>
  <si>
    <t>65201538-7</t>
  </si>
  <si>
    <t>COOPERATIVA DE TRABAJO SVA LIMITADA</t>
  </si>
  <si>
    <t>65202595-1</t>
  </si>
  <si>
    <t>COOPERATIVA AGRICOLA RAYEN HUENCHO LIMITADA</t>
  </si>
  <si>
    <t>65203396-2</t>
  </si>
  <si>
    <t>COOPERATIVA DE TRABAJO DE PASTAS DE CAPITAN PASTENE</t>
  </si>
  <si>
    <t>65200171-8</t>
  </si>
  <si>
    <t>COOPERATIVA DE DESARROLLO APICOLA URBANA</t>
  </si>
  <si>
    <t>65201488-7</t>
  </si>
  <si>
    <t>COOPERATIVA DE TRABAJO CAÑAMERA DE CHILE LIMITADA</t>
  </si>
  <si>
    <t>65200916-6</t>
  </si>
  <si>
    <t>COOPERATIVA AGRICOLA APICOLA WE NEWEN LIMITADA</t>
  </si>
  <si>
    <t>65204737-8</t>
  </si>
  <si>
    <t>COOPERATIVA AGRICOLA OVINA</t>
  </si>
  <si>
    <t>65202571-4</t>
  </si>
  <si>
    <t>COOPERATIVA PESQUERA LATITUD  CINCUENTA Y UNO</t>
  </si>
  <si>
    <t>65201481-k</t>
  </si>
  <si>
    <t>COOPERATIVA POTENCIATE PICHILEMU LIMITADA</t>
  </si>
  <si>
    <t>65202568-4</t>
  </si>
  <si>
    <t>COOPERATIVA DE TRABAJO CIRCULAR NATALES</t>
  </si>
  <si>
    <t>65198881-0</t>
  </si>
  <si>
    <t>COOPERATIVA DE TRABAJO RODASOL LIMITADA</t>
  </si>
  <si>
    <t>65203843-3</t>
  </si>
  <si>
    <t>COOPERATIVA DE TRABAJO COOPERAR-TE</t>
  </si>
  <si>
    <t>65206499-k</t>
  </si>
  <si>
    <t>COOPERATIVA DE TRABAJO DE PROFESIONALES DE LA EDUCACION Y LA SALUD AYÜNCOOP LIMITADA</t>
  </si>
  <si>
    <t>65203005-k</t>
  </si>
  <si>
    <t>COOPERATIVA MULTIACTIVA DE SERVICIOS, TURISMO E INGENIERIA INNOVAUSTRALIS</t>
  </si>
  <si>
    <t>65209286-1</t>
  </si>
  <si>
    <t>COOPERATIVA AGRICOLA FEÑ-FEÑ KO LIMITADA</t>
  </si>
  <si>
    <t>65203759-3</t>
  </si>
  <si>
    <t>COOPERATIVA AGRICOLA CASTAÑAS DE LA ARAUCANIA</t>
  </si>
  <si>
    <t>65203161-7</t>
  </si>
  <si>
    <t>COOPERATIVA AGRICOLA DE LIMACHE LIMITADA</t>
  </si>
  <si>
    <t>82822600-2</t>
  </si>
  <si>
    <t>COOPERATIVA AGRICOLA SANTIAGO LIMITADA</t>
  </si>
  <si>
    <t>65203618-k</t>
  </si>
  <si>
    <t>INSTITUTO DE ESTUDIOS DE PRODUCCION AUTOGESTIONARIA Y COOPERATIVA DEL HABITAT</t>
  </si>
  <si>
    <t>65203791-7</t>
  </si>
  <si>
    <t>COOPERATIVA DE TRABAJO COSTURERAS A TODA MAQUINA</t>
  </si>
  <si>
    <t>65203932-4</t>
  </si>
  <si>
    <t>COOPERATIVA MULTIACTIVA MEDIOAMBIENTAL, DE TURISMO, AGROECOLOGIA,</t>
  </si>
  <si>
    <t>65211464-4</t>
  </si>
  <si>
    <t>COOPERATIVA DE TRABAJO APICOLA DEL SECANO LIMITADA</t>
  </si>
  <si>
    <t>65211214-5</t>
  </si>
  <si>
    <t>COOPERATIVA ACUICOLA M-29 TONGOY</t>
  </si>
  <si>
    <t>65205622-9</t>
  </si>
  <si>
    <t>COOPERATIVA DE TRABAJO TRAMASUR LIMITADA</t>
  </si>
  <si>
    <t>65207589-4</t>
  </si>
  <si>
    <t>COOPERATIVA DE TURISMO LAGOS Y VOLCANES LIMITADA</t>
  </si>
  <si>
    <t>65208455-9</t>
  </si>
  <si>
    <t>COOPERATIVA CAMPESINA DESPERTAR YERBA LUNA LIMITADA</t>
  </si>
  <si>
    <t>65206337-3</t>
  </si>
  <si>
    <t>COOPERATIVA DE TRABAJO DE MENSAJERIA Y TRASLADO DE PAQUETES, LOGISTICA, EDUCACION, ASESORIA DE MARKETING, ORGANIZADOR DE EVENTOS, MECANICA DE BICICLETAS LTDA</t>
  </si>
  <si>
    <t>65206485-k</t>
  </si>
  <si>
    <t>COOPERATIVA CAMPESINA Y AGRICOLA PRODUCTORES DE PUREO</t>
  </si>
  <si>
    <t>65200406-7</t>
  </si>
  <si>
    <t>COOPERATIVA DE TRABAJO NEW DEV</t>
  </si>
  <si>
    <t>65207093-0</t>
  </si>
  <si>
    <t>COOPERATIVA AGRICOLA MANOS DE MUJER DE MANTILHUE LIMITADA</t>
  </si>
  <si>
    <t>65205994-5</t>
  </si>
  <si>
    <t>ESPACIO MICELIO COOPERATIVA DE TRABAJO Y SERVICIOS</t>
  </si>
  <si>
    <t>65207451-0</t>
  </si>
  <si>
    <t>COOPERATIVA AGRICOLA CAMPESINA AVICOLA</t>
  </si>
  <si>
    <t>65207405-7</t>
  </si>
  <si>
    <t>COOPERATIVA CUARTO DE GUERRA</t>
  </si>
  <si>
    <t>65204378-K</t>
  </si>
  <si>
    <t>COOPERATIVA CAMPESINA LA HORMIGA LIMITADA</t>
  </si>
  <si>
    <t>65201343-0</t>
  </si>
  <si>
    <t>COOPERATIVA DE SERVICIOS SANITARIOS RURAL QUEPE LTDA.</t>
  </si>
  <si>
    <t>65208988-7</t>
  </si>
  <si>
    <t>COOPERATIVA CERRADA DE VIVIENDA DIECISIETE DE MAYO</t>
  </si>
  <si>
    <t>65207879-6</t>
  </si>
  <si>
    <t>COOPERATIVA DE TRABAJO SERVICIOS INTEGRALES EN TELECOMUNICACIONES  Y ENERGIA</t>
  </si>
  <si>
    <t>65208107-K</t>
  </si>
  <si>
    <t>COOPERATIVA DE TRABAJO SOCIEDAD COOPERATIVA ELECTRICA LIMITADA</t>
  </si>
  <si>
    <t>65208281-5</t>
  </si>
  <si>
    <t>COOPERATIVA WELIWEN</t>
  </si>
  <si>
    <t>65212373-2</t>
  </si>
  <si>
    <t>COOPERATIVA AGRICOLA RAYENKO FRAMBERRIES LIMITADA</t>
  </si>
  <si>
    <t>65208511-3</t>
  </si>
  <si>
    <t>COOPERATIVA DE TRABAJO DE CERVECERIAS ARTESANALES DE SAN PEDRO DE LA PAZ LIMITADA</t>
  </si>
  <si>
    <t>652071236</t>
  </si>
  <si>
    <t>COOPERATIVA DE SERVICIOS TEXTILES REGION DE LOS LAGOS LTDA.</t>
  </si>
  <si>
    <t>65210081-3</t>
  </si>
  <si>
    <t>COOPERATIVA AGRICOLA DE MULCHEN</t>
  </si>
  <si>
    <t>65210003-1</t>
  </si>
  <si>
    <t>COOPERATIVA DE SERVICIOS ENERGETICOS ENERGIA RUTA PEHUENCHE</t>
  </si>
  <si>
    <t>65214511-6</t>
  </si>
  <si>
    <t>COOPERATIVA DE TRABAJO DISIDENTE LA C.A.U.S.A.</t>
  </si>
  <si>
    <t>65206437-k</t>
  </si>
  <si>
    <t>COOPERATIVA AGRICOLA GANADERA Y COMERCIAL  CAMPESINA AUKA MAPU LIMITADA</t>
  </si>
  <si>
    <t>65214638-4</t>
  </si>
  <si>
    <t>COOPERATIVA AGRICOLA PRODUCTORES DE QUINOA Y OTROS GRANOS DEL MAULE COSTERO LIMITADA</t>
  </si>
  <si>
    <t>65209459-7</t>
  </si>
  <si>
    <t>COOPERATIVA DE PESCADORES Y RECOLECTORES SECTOR 6 CALETA EL COBRE - PUNTA DOS REYES</t>
  </si>
  <si>
    <t>65210722-2</t>
  </si>
  <si>
    <t>COOPERATIVA AGRICOLA FUTA PEUMA LEYIN LIMITADA</t>
  </si>
  <si>
    <t>65217276-8</t>
  </si>
  <si>
    <t>COOPERATIVA DE SERVICIOS GASTRONOMICOS INCLUSIVA ALGARROBO LIMITADA</t>
  </si>
  <si>
    <t>65207456-1</t>
  </si>
  <si>
    <t>COOPERATIVA AGRICOLA SANTO DOMINGO LIMITADA</t>
  </si>
  <si>
    <t>65208685-3</t>
  </si>
  <si>
    <t>COOPERATIVA  DE SERVICIOS DE ARTESANOS EN PIEDRA COMBARBALITA LIMITADA</t>
  </si>
  <si>
    <t>65210869-5</t>
  </si>
  <si>
    <t>COOPERATIVA CAMPESINA VITIVINICOLA NACIMIENTO</t>
  </si>
  <si>
    <t>65218807-9</t>
  </si>
  <si>
    <t>COOPERATIVA ECOALDEA MATRIZ DE EMPATIA</t>
  </si>
  <si>
    <t>65213714-8</t>
  </si>
  <si>
    <t>COOPERATIVA DE ARTESANAS ELUNEY WITRAL ANCESTRAL DE MOSTAZAL LIMITADA</t>
  </si>
  <si>
    <t>65215507-3</t>
  </si>
  <si>
    <t>COOPERATIVA DE TRABAJO A FUEGO LENTO LIMITADA</t>
  </si>
  <si>
    <t>65202631-1</t>
  </si>
  <si>
    <t>COOPERATIVA DE SERVICIOS MULTIPLES SERVIUNION LIMITADA</t>
  </si>
  <si>
    <t>71459300-5</t>
  </si>
  <si>
    <t>SOCIEDAD COOPERATIVA DE EDIFICACION DE VIVIENDAS "VALPARAÍSO" LIMITADA</t>
  </si>
  <si>
    <t>65212264-7</t>
  </si>
  <si>
    <t>COOPERATIVA DE SERVICIOS SILVO AGROPECUARIA Y TURISMO DOÑA CORNELIA</t>
  </si>
  <si>
    <t>65212467-4</t>
  </si>
  <si>
    <t>COOPERATIVA CERRADA DE VIVIENDA VISTA HERMOSA AL MAR LIMITADA</t>
  </si>
  <si>
    <t>65212665-0</t>
  </si>
  <si>
    <t>COOPERATIVA DE TRABAJO DE DISEÑO, CONFECCION, PRODUCCION Y MODA SUSTENTABLE, EDUCACION TEXTIL, MARKETING, MODA CIRCULAR, ORGANIZACION DE EVENTOS Y ASESORIAS EN GENERAL LTDA</t>
  </si>
  <si>
    <t>65220429-5</t>
  </si>
  <si>
    <t>COOPERATIVA DE TRABAJO MARI NEWEN</t>
  </si>
  <si>
    <t>77122379-6</t>
  </si>
  <si>
    <t>COOPERATIVA DE TRABAJO ESTACION DE LOS SUEÑOS LIMITADA</t>
  </si>
  <si>
    <t>65207225-9</t>
  </si>
  <si>
    <t>COOPERATIVA DE SERVICIOS DE PRODUCCION ARTISTICA Y CULTURAL COLECTIVO DE TITERES LIEBRETORTUGA LIMITADA</t>
  </si>
  <si>
    <t>65214595-7</t>
  </si>
  <si>
    <t>COOPERATIVA PESQUERA PUERTAS AL MAR LIMITADA</t>
  </si>
  <si>
    <t>65213967-1</t>
  </si>
  <si>
    <t>COOPERATIVA DE SERVICIOS ECOSERVICIOS CIRCULARES PARA LA GESTION DE RESIDUOS ORGANICOS LIMITADA</t>
  </si>
  <si>
    <t>65214123-4</t>
  </si>
  <si>
    <t>COOPERATIVA MULTIACTIVA DE SERVICIOS, COMERCIALIZADORA Y TURISMO SUMMIT BLISS</t>
  </si>
  <si>
    <t>65216935-K</t>
  </si>
  <si>
    <t>COOPERATIVA DE RECOLECTORES DE ORILLA LAGUNILLA ALTO COLORADO</t>
  </si>
  <si>
    <t>65215256-2</t>
  </si>
  <si>
    <t>COOPERATIVA DE TRABAJO MELY LAWEN LIMITADA</t>
  </si>
  <si>
    <t>65203917-0</t>
  </si>
  <si>
    <t>COOPERATIVA AGRICOLA PICHI COICOMA LIMITADA</t>
  </si>
  <si>
    <t>65220477-5</t>
  </si>
  <si>
    <t>COOPERATIVA DE SERVICIOS RAYENIA, COOPERATIVA DE SALUD Y BIENESTAR, SIN FINES DE LUCRO</t>
  </si>
  <si>
    <t>65215234-1</t>
  </si>
  <si>
    <t>COOPERATIVA DE TRABAJO RECICLADORES DEL LIMARI LIMITADA</t>
  </si>
  <si>
    <t>65215437-9</t>
  </si>
  <si>
    <t>COOPERATIVA AGRICOLA DE LAMPA LIMITADA</t>
  </si>
  <si>
    <t>65216532-k</t>
  </si>
  <si>
    <t>COOPERATIVA DE TRABAJO ZOMO NEWEN LIMITADA</t>
  </si>
  <si>
    <t>65219499-0</t>
  </si>
  <si>
    <t>COOPERATIVA DE PRODUCTOS PROCESADOS DEL RANCO LIMITADA</t>
  </si>
  <si>
    <t>65216058-1</t>
  </si>
  <si>
    <t>COOPERATIVA DE TRABAJO RECICLADORES BIO BIO LIMITADA</t>
  </si>
  <si>
    <t>65216234-7</t>
  </si>
  <si>
    <t>COOPERATIVA DE TRABAJO DE RECICLADORES BARRIO YUNGAY</t>
  </si>
  <si>
    <t>65216583-4</t>
  </si>
  <si>
    <t>PATCH COOPERATIVA DE TRABAJO LIMITADA</t>
  </si>
  <si>
    <t>65215938-9</t>
  </si>
  <si>
    <t>COOPERATIVA ITATA SUR</t>
  </si>
  <si>
    <t>65217173-7</t>
  </si>
  <si>
    <t>COOPERATIVA DE SERVICIOS EL PLANO</t>
  </si>
  <si>
    <t>65214494-2</t>
  </si>
  <si>
    <t>COOPERATIVA DE TRABAJO ECOUNICA CHILE COSMETICA NATURAL</t>
  </si>
  <si>
    <t>65216966-K</t>
  </si>
  <si>
    <t>COOPERATIVA DE ORFREBRES RAYEN KÜTRAL</t>
  </si>
  <si>
    <t>65220405-8</t>
  </si>
  <si>
    <t>COOPERATIVA DE TRABAJO POPULAR UNIVERSITARIA</t>
  </si>
  <si>
    <t>65221299-9</t>
  </si>
  <si>
    <t>COOPERATIVA DE TRABAJO RECICLARTE PITRUFQUEN LIMITADA</t>
  </si>
  <si>
    <t>65218376-k</t>
  </si>
  <si>
    <t>COOPERATIVA DE SERVICIOS UNIENDO ARTE Y SABOR EL CHILCON LIMITADA</t>
  </si>
  <si>
    <t>65222972-7</t>
  </si>
  <si>
    <t>COOPERATIVA APICOLA Y AGROTURISTICA DE MAFIL</t>
  </si>
  <si>
    <t>65218353-0</t>
  </si>
  <si>
    <t>COOPERATIVA AGRICOLA HORTICOLA MAQUEHUE LIMITADA</t>
  </si>
  <si>
    <t>65218947-4</t>
  </si>
  <si>
    <t>COOPERATIVA DE TRABAJO RECICLAJE URBANO LIMITADA</t>
  </si>
  <si>
    <t>65225133-1</t>
  </si>
  <si>
    <t>COOPERATIVA DE TRABAJO RECICLAJE TIERRA BELLA LIMITADA</t>
  </si>
  <si>
    <t>65218506-1</t>
  </si>
  <si>
    <t>COOPERATIVA DE TRABAJO SERVICLAJE LIMITADA</t>
  </si>
  <si>
    <t>77460276-3</t>
  </si>
  <si>
    <t>COOPERATIVA AGRICOLA Y DE GESTION DE RECURSOS NATURALES LA RESERVA FRUTILLAR LIMITADA</t>
  </si>
  <si>
    <t>65227952-K</t>
  </si>
  <si>
    <t>COOPERATIVA DE VIVIENDA APECH LIMITADA</t>
  </si>
  <si>
    <t>65219013-8</t>
  </si>
  <si>
    <t>COOPERATIVA DE TRABAJO AGROECOLOGICA URBANA INCLUSIVA LIMITADA</t>
  </si>
  <si>
    <t>65218578-9</t>
  </si>
  <si>
    <t>COOPERATIVA DE TRABAJO LAS REALES</t>
  </si>
  <si>
    <t>65230322-6</t>
  </si>
  <si>
    <t>COOPERATIVA CORREDOR DANZA VALPARAISO LTDA.</t>
  </si>
  <si>
    <t>65218957-1</t>
  </si>
  <si>
    <t>COOPERATIVA DE SERVICIOS CHILOE  TRAVESIA LIMITADA</t>
  </si>
  <si>
    <t>65218502-9</t>
  </si>
  <si>
    <t>COOPERATIVA AGRICOLA FERTIL LIMITADA</t>
  </si>
  <si>
    <t>65221052-K</t>
  </si>
  <si>
    <t>COOPERATIVA DE SERVICIOS MULTIACTIVA DZOMO LIMITADA</t>
  </si>
  <si>
    <t>65220077-k</t>
  </si>
  <si>
    <t>COOPERATIVA DE TRABAJO ARTESANAS Y ARTESANOS DE LA PATAGONIA</t>
  </si>
  <si>
    <t>65219498-2</t>
  </si>
  <si>
    <t>COOPERATIVA DE TRABAJO MERCADO MAPUCHE LIMITADA</t>
  </si>
  <si>
    <t>65219519-9</t>
  </si>
  <si>
    <t>COOPERATIVA DE TRABAJO DE ARTESANOS AÑAÑUKA</t>
  </si>
  <si>
    <t>65229689-0</t>
  </si>
  <si>
    <t>COOPERATIVA DE LUZ Y AGUA CONDOMINIO PORTAL DEL MAR LIMITADA</t>
  </si>
  <si>
    <t>65223864-5</t>
  </si>
  <si>
    <t>COOPERATIVA DE SERVICIOS DE SALUD Y BIENESTAR EKYLIBRIO LIMITADA</t>
  </si>
  <si>
    <t>65219782-5</t>
  </si>
  <si>
    <t>COOPERATIVA DE TRABAJO GEOMAKI LIMITADA</t>
  </si>
  <si>
    <t>65220954-8</t>
  </si>
  <si>
    <t>COOPERATIVA DE SERVICIOS CALETA ROLLIZO LIMITADA</t>
  </si>
  <si>
    <t>65215951-6</t>
  </si>
  <si>
    <t>COOPERATIVA DE TRABAJO PARA LA FORMACION EN OFICIOS CREATIVOS CIRCULARES</t>
  </si>
  <si>
    <t>65220676-k</t>
  </si>
  <si>
    <t>COOPERATIVA AGROTURISTICA, ECOLOGICA Y ARTESANAL CORAZON DE VELLON</t>
  </si>
  <si>
    <t>65220032-k</t>
  </si>
  <si>
    <t>COOPERATIVA DE TRABAJO MODA Y DISEÑO DE AUTOR</t>
  </si>
  <si>
    <t>65220155-5</t>
  </si>
  <si>
    <t>COOPERATIVA DE SERVICIOS LA FIESTA DEL TUNUPA</t>
  </si>
  <si>
    <t>65220153-9</t>
  </si>
  <si>
    <t>COOPERATIVA AGRICOLA Y ECOTURISMO PILUNKURA LIMITADA</t>
  </si>
  <si>
    <t>65220313-2</t>
  </si>
  <si>
    <t>COOPERATIVA PESQUERA Y DE ABASTECIMIENTO DE PRODUCTOS DEL MAR AQUI HAY PESCADO</t>
  </si>
  <si>
    <t>65222618-3</t>
  </si>
  <si>
    <t>COOPERATIVA DE ARTESANOS Y PRODUCTORES HECHO A MANO ELQUI</t>
  </si>
  <si>
    <t>65220622-0</t>
  </si>
  <si>
    <t>COOPERATIVA DE TRABAJO MAKOTO STUDIO LTDA</t>
  </si>
  <si>
    <t>65230035-9</t>
  </si>
  <si>
    <t>COOPERATIVA DE SERVICIOS DE ABASTECIMIENTO</t>
  </si>
  <si>
    <t>65220528-3</t>
  </si>
  <si>
    <t>COOPERATIVA DE TRABAJO ARTESANAL OVILLANDO CULTURA</t>
  </si>
  <si>
    <t>65222048-7</t>
  </si>
  <si>
    <t>COOPERATIVA DE TRABAJO INYON FANM VANYAN</t>
  </si>
  <si>
    <t>65221031-7</t>
  </si>
  <si>
    <t>COOPERATIVA DE TRABAJO PRO-INCLUSIVA LIMITADA</t>
  </si>
  <si>
    <t>65220063-K</t>
  </si>
  <si>
    <t>COOPERATIVA DE TRABAJO DE MUJERES RECICLADORAS LIMITADA</t>
  </si>
  <si>
    <t>65221573-4</t>
  </si>
  <si>
    <t>COOPERATIVA AGRICOLA LLAYIN LIMITADA</t>
  </si>
  <si>
    <t>65221335-9</t>
  </si>
  <si>
    <t>COOPERATIVA DE SERVICIOS NUEVOS MEDIOS E INDUSTRIAS CREATIVAS LIMITADA</t>
  </si>
  <si>
    <t>65230288-2</t>
  </si>
  <si>
    <t>COOPERATIVA DE SERVICIOS SALAMANCA LIMITADA</t>
  </si>
  <si>
    <t>65222995-6</t>
  </si>
  <si>
    <t>COOPERATIVA AGRICOLA Y CAMPESINA HUEYUSCA LIMITADA</t>
  </si>
  <si>
    <t>65223983-8</t>
  </si>
  <si>
    <t>COOPERATIVA DE TRABAJO Y PRODUCCION ARTESANAL DE ALIMENTOS LA MARGA MARGA</t>
  </si>
  <si>
    <t>65229901-6</t>
  </si>
  <si>
    <t>COOPERATIVA DE SERVICIOS CULTURALES TERRITORIO CULTURAL</t>
  </si>
  <si>
    <t>65137061-2</t>
  </si>
  <si>
    <t>COOPERATIVA AGROPECUARIA Y TURISTICA WENTECHE CARAHUE LTDA</t>
  </si>
  <si>
    <t>65222473-3</t>
  </si>
  <si>
    <t>COOPERATIVA DE TRABAJO SEGUIR CRECIENDO LIMITADA</t>
  </si>
  <si>
    <t>65214799-2</t>
  </si>
  <si>
    <t>COOPERATIVA AGRICOLA DE BOSQUES NATIVOS KAYU PONON</t>
  </si>
  <si>
    <t>65227427-7</t>
  </si>
  <si>
    <t>COOPERATIVA AGRICOLA AVICOLA LAGUNILLAS</t>
  </si>
  <si>
    <t>65228749-2</t>
  </si>
  <si>
    <t>COOPERATIVA PESQUERA DE REDERAS Y REDEROS MAR DE CALDERA</t>
  </si>
  <si>
    <t>65222762-7</t>
  </si>
  <si>
    <t>COOPERATIVA AGRICOLA Y CAMPESINA ISLA</t>
  </si>
  <si>
    <t>65228411-6</t>
  </si>
  <si>
    <t>COOPERATIVA AGRICOLA MANOS COLABORATIVAS LIMITADA</t>
  </si>
  <si>
    <t>65222176-9</t>
  </si>
  <si>
    <t>COOPERATIVA AGRICOLA MULTIACTIVA LLEUPECO LIMITADA</t>
  </si>
  <si>
    <t>65223992-7</t>
  </si>
  <si>
    <t>COOPERATIVA AGRICOLA CADENA VERDE LIMITADA</t>
  </si>
  <si>
    <t>65216631-8</t>
  </si>
  <si>
    <t>COOPERATIVA DE TRABAJO GANIMEDES</t>
  </si>
  <si>
    <t>65225813-1</t>
  </si>
  <si>
    <t>COOPERATIVA AGRICOLA MARTINEZ Y DIAZ</t>
  </si>
  <si>
    <t>65222095-9</t>
  </si>
  <si>
    <t>COOPERATIVA DE TRABAJO Y SERVICIOS LA FUGA ARTES ESCENICAS</t>
  </si>
  <si>
    <t>65225296-6</t>
  </si>
  <si>
    <t>COOPERATIVA AGRICOLA LEMU</t>
  </si>
  <si>
    <t>65225134-k</t>
  </si>
  <si>
    <t>COOPERATIVA CAMPESINA DE LEGUMBRES AGROECOLOGICA DEL SECANO O'HIGGINS LIMITADA</t>
  </si>
  <si>
    <t>65226086-1</t>
  </si>
  <si>
    <t>COOPERATIVA AGROFORESTAL LA BALLENA LIMITADA</t>
  </si>
  <si>
    <t>65230252-1</t>
  </si>
  <si>
    <t>COOPERATIVA DE SERVICIOS COOMPOSTUR</t>
  </si>
  <si>
    <t>65228489-2</t>
  </si>
  <si>
    <t>COOPERATIVA DE TRABAJO ZARAPITO LIMITADA</t>
  </si>
  <si>
    <t>65229847-8</t>
  </si>
  <si>
    <t>COOPERATIVA AGRICOLA Y AVICOLA RENACER LIMITADA</t>
  </si>
  <si>
    <t>65139094-K</t>
  </si>
  <si>
    <t>COOPERATIVA AGROPECUARIA Y TURISTICA QUILLEM LTDA</t>
  </si>
  <si>
    <t>65236254-0</t>
  </si>
  <si>
    <t>COOPERATIVA AGRICOLA GANADERA NAVIDAD LIMITADA</t>
  </si>
  <si>
    <t>65228015-3</t>
  </si>
  <si>
    <t>COOPERATIVA DE TRABAJO SERVICIOS DE ACOMPAÑAMIENTO LIMITADA</t>
  </si>
  <si>
    <t>65136868-5</t>
  </si>
  <si>
    <t>COOPERATIVA EL VALLE DE GALVARINO</t>
  </si>
  <si>
    <t>65231914-9</t>
  </si>
  <si>
    <t>COOPERATIVA CAMPESINA DE PEQUEÑOS AGRICULTORES MAFIL LIMITADA</t>
  </si>
  <si>
    <t>65228327-6</t>
  </si>
  <si>
    <t>COOPERATIVA AGRICOLA DE GRANOS</t>
  </si>
  <si>
    <t>65229442-1</t>
  </si>
  <si>
    <t>COOPERATIVA DE QUESEROS ARTESANALES</t>
  </si>
  <si>
    <t>65211189-0</t>
  </si>
  <si>
    <t>COOPERATIVA DE TRABAJO Y TURISMO SOSTENIBLE SANTA MARIA</t>
  </si>
  <si>
    <t>65221599-8</t>
  </si>
  <si>
    <t>COOPERATIVA DE TRABAJO MUJER LATINA PRODUCCIONES</t>
  </si>
  <si>
    <t>65215656-8</t>
  </si>
  <si>
    <t>COOPERATIVA DE TRABAJO C.C.R. MATTA LTDA</t>
  </si>
  <si>
    <t>65229295-K</t>
  </si>
  <si>
    <t>COOPERATIVA AGRICOLA ESENSIAL LIMITADA</t>
  </si>
  <si>
    <t>53326055-1</t>
  </si>
  <si>
    <t>COOPERATIVA AGRICOLA KAYPÜLLI LIMITADA</t>
  </si>
  <si>
    <t>65136224-5</t>
  </si>
  <si>
    <t>COOPERATIVA  DE SERVICIOS DE ARTE, CULTURA Y TURISMO MUSAYCOOP LIMITADA</t>
  </si>
  <si>
    <t>81643200-6</t>
  </si>
  <si>
    <t>COOPERATIVA AGRICOLA LECHERA SANTIAGO LIMITADA</t>
  </si>
  <si>
    <t>65229191-0</t>
  </si>
  <si>
    <t>COOPERATIVA DE TRABAJO POR LA AUGESTION COMUNITARIA</t>
  </si>
  <si>
    <t>65230567-9</t>
  </si>
  <si>
    <t>COOPERATIVA DE SERVICIOS Y TRABAJO SUR ACROPOLIS</t>
  </si>
  <si>
    <t>65220335-3</t>
  </si>
  <si>
    <t>COOPERATIVA AGRICOLA QHAPAQ ÑAN LIMITADA</t>
  </si>
  <si>
    <t>65231178-4</t>
  </si>
  <si>
    <t>COOPERATIVA DE TRABAJO RECI GO CHILE LIMITADA</t>
  </si>
  <si>
    <t>65216328-9</t>
  </si>
  <si>
    <t>COOPERATIVA AGRICOLA DE PRODUCCION Y COMERCIALIZACION DE FRUTOS, SUBPRODUCTOS, PRODUCTOS AGRICOLAS Y OTROS</t>
  </si>
  <si>
    <t>65146803-5</t>
  </si>
  <si>
    <t>COOPERATIVA DE SERVICIOS MINEROS PIEDRA DE LA MESA LIMITADA</t>
  </si>
  <si>
    <t>65230576-8</t>
  </si>
  <si>
    <t>COOPERATIVA DE TRABAJO MANOS DE TOLTEN LIMITADA</t>
  </si>
  <si>
    <t>65135978-3</t>
  </si>
  <si>
    <t>COOPERATIVA DE GESTION AMBIENTAL LIMITADA</t>
  </si>
  <si>
    <t>65213649-4</t>
  </si>
  <si>
    <t>COOPERATIVA ESCUELA-TALLER DE ARTES Y OFICIO ARTESANAL MANOS CON MEMORIA</t>
  </si>
  <si>
    <t>65216063-8</t>
  </si>
  <si>
    <t>COOPERATIVA DE TRABAJO VALORIZACION RESIDUOS Y OFICIOS SUSTENTABLES</t>
  </si>
  <si>
    <t>65136537-6</t>
  </si>
  <si>
    <t>COOPERATIVA DE TRABAJO PARA EL FOMENTO Y DESARROLLO MARITIMO LIMITADA</t>
  </si>
  <si>
    <t>65135947-3</t>
  </si>
  <si>
    <t>COOPERATIVA DE BUZOS Y/O PESCADORES SAN LORENZO DE TONGOY</t>
  </si>
  <si>
    <t>65140933-0</t>
  </si>
  <si>
    <t>COOPERATIVA PESQUERA CALTUBUL LIMITADA</t>
  </si>
  <si>
    <t>65137192-9</t>
  </si>
  <si>
    <t>COOPERATIVA DE TRABAJO DE HORTICULTORES DEL BIO BIO LIMITADA</t>
  </si>
  <si>
    <t>65137596-7</t>
  </si>
  <si>
    <t>COOPERATIVA CERRADA DE VIVIENDA Y SERVICIOS HABITACIONALES DOMUS</t>
  </si>
  <si>
    <t>65139736-7</t>
  </si>
  <si>
    <t>COOPERATIVA AGRICOLA Y DE SERVICIOS GESTION DE RECURSOS NATURALES LIMITADA</t>
  </si>
  <si>
    <t>65139672-7</t>
  </si>
  <si>
    <t>COOPERATIVA AGRICOLA DE VIÑATEROS MOSCIN LIMITADA</t>
  </si>
  <si>
    <t>65136232-6</t>
  </si>
  <si>
    <t>COOPERATIVA DE TRABAJO Y SERVICIOS DE ASEO, EDUCACION, RECOLECCION Y AREAS VERDES JOSE NOVA GAETE</t>
  </si>
  <si>
    <t>65140145-3</t>
  </si>
  <si>
    <t>COOPERATIVA RECICLAJE INCLUSIVO ESTACION CENTRAL LIMITADA</t>
  </si>
  <si>
    <t>65141673-6</t>
  </si>
  <si>
    <t>COOPERATIVA DE TRABAJO RESPONDE VERDE LIMITADA</t>
  </si>
  <si>
    <t>65157433-1</t>
  </si>
  <si>
    <t>COOPERATIVA CERVECEROS PROVINCIA DEL LIMARI</t>
  </si>
  <si>
    <t>65140543-2</t>
  </si>
  <si>
    <t>COOPERATIVA AGRICOLA PU LILA LIMITADA</t>
  </si>
  <si>
    <t>65141669-8</t>
  </si>
  <si>
    <t>COOPERATIVA DE TRABAJO DE PRODUCTORES AUDIOVISUALES CINE PATAGONIA LIMITADA</t>
  </si>
  <si>
    <t>65140532-7</t>
  </si>
  <si>
    <t>COOPERATIVA DE TRABAJO RECICLAJE DE CHILE LIMITADA</t>
  </si>
  <si>
    <t>65221747-8</t>
  </si>
  <si>
    <t>COOPERATIVA DE TRABAJO LA MATRIZ</t>
  </si>
  <si>
    <t>65131783-5</t>
  </si>
  <si>
    <t>COOPERATIVA DE TRABAJO HUMEDA TIERRA</t>
  </si>
  <si>
    <t>65142166-7</t>
  </si>
  <si>
    <t>COOPERATIVA DE TRABAJO DE APICULTORES Y APICULTORAS DEL SUR DE CHILOE</t>
  </si>
  <si>
    <t>65232247-6</t>
  </si>
  <si>
    <t>COOPERATIVA APICOLA Y TECNOLOGICA ABEJAS CHILE LIMITADA</t>
  </si>
  <si>
    <t>65144962-6</t>
  </si>
  <si>
    <t>COOPERATIVA DE TRABAJO DELICIAS DEL ESTERO LIMITADA</t>
  </si>
  <si>
    <t>65145318-6</t>
  </si>
  <si>
    <t>COOPERATIVA DE TRABAJO MISKI NEWEN LIMITADA</t>
  </si>
  <si>
    <t>65144522-1</t>
  </si>
  <si>
    <t>COOPERATIVA DE PRODUCTORES ARTESANALES KUME FELEN LIMITADA</t>
  </si>
  <si>
    <t>65141798-8</t>
  </si>
  <si>
    <t>COOPERATIVA DE PRODUCCION Y SERVICIOS EN RECICLAJE, ALIMENTOS, SALUD Y CULTURA NOMBRE DE FANTASIA COOPERATIVA MAS VALOR CHILOE</t>
  </si>
  <si>
    <t>65143077-1</t>
  </si>
  <si>
    <t>COOPERATIVA APICOLA APITIRUA LIMITADA</t>
  </si>
  <si>
    <t>65132944-2</t>
  </si>
  <si>
    <t>COOPERATIVA DE SERVICIOS DE PRODUCTORES Y PRODUCTORAS DE CERVEZAS, HIDROMIEL Y OTROS FERMENTADOS DE LOS LAGOS</t>
  </si>
  <si>
    <t>81428100-0</t>
  </si>
  <si>
    <t>COOPERATIVA VITIVINICOLA DEL VALLE CENTRAL LIMITADA</t>
  </si>
  <si>
    <t>65157052-2</t>
  </si>
  <si>
    <t>COOPERATIVA AGROALIMENTARIA TIERRA VIVA COCHRANE</t>
  </si>
  <si>
    <t>65152742-2</t>
  </si>
  <si>
    <t>COOPERATIVA DE VIVIENDA CERRADA BUEN VIENTO LIMITADA</t>
  </si>
  <si>
    <t>65144929-4</t>
  </si>
  <si>
    <t>COOPERATIVA DE SERVICIOS AGRICOLAS DE RIEGO, ADMINISTRACION Y CONSERVACION ELIZALDE AYSEN LIMITADA</t>
  </si>
  <si>
    <t>65128909-2</t>
  </si>
  <si>
    <t>COOPERATIVA AGRICOLA CAUNAHUE LIMITADA</t>
  </si>
  <si>
    <t>65129044-9</t>
  </si>
  <si>
    <t>COOPERATIVA DE SERVICIOS AGRICULTORES UNIDOS POR SIEMPRE LIMITADA</t>
  </si>
  <si>
    <t>65129116-K</t>
  </si>
  <si>
    <t>COOPERATIVA DE SERVICIOS TURISTICOS DE RECREO LIMITADA</t>
  </si>
  <si>
    <t>65129416-9</t>
  </si>
  <si>
    <t>COOPERATIVA DE SERVICIOS Y EVENTOS DIAGUITAS LIMITADA</t>
  </si>
  <si>
    <t>65129219-0</t>
  </si>
  <si>
    <t>COOPERATIVA DE TRABAJO FUNGI ALDEA AYELEN LIMITADA</t>
  </si>
  <si>
    <t>65235161-1</t>
  </si>
  <si>
    <t>COOPERATIVA DE SERVICIOS TURISTICOS Y CULTURALES DE PIRQUE NATIVOZ LIMITADA</t>
  </si>
  <si>
    <t>65131481-K</t>
  </si>
  <si>
    <t>COOPERATIVA DE SERVICIOS ELKI LIMITADA</t>
  </si>
  <si>
    <t>65139481-3</t>
  </si>
  <si>
    <t>COOPERATIVA AGRICOLA Y VITIVINICOLA DEL SUR DE CHILE LIMITADA</t>
  </si>
  <si>
    <t>65232572-6</t>
  </si>
  <si>
    <t>COOPERATIVA DE ARTE Y CULTURA LA RIA LIMITADA</t>
  </si>
  <si>
    <t>65235491-2</t>
  </si>
  <si>
    <t>COOPERATIVA DE SERVICIOS GESTIONARTE LIMITADA</t>
  </si>
  <si>
    <t>65129088-0</t>
  </si>
  <si>
    <t>COOPERATIVA APICOLA KOPE HUEÑ LTDA</t>
  </si>
  <si>
    <t>652322549</t>
  </si>
  <si>
    <t>COOPERATIVA AGRICOLA ASOCIACION DE APICULTORES CON CONSCIENCIA DE ALHUE LIMITADA</t>
  </si>
  <si>
    <t>65233231-5</t>
  </si>
  <si>
    <t>COOPERATIVA DE TRABAJO NAKAMA HOUSE LIMITADA</t>
  </si>
  <si>
    <t>65133745-3</t>
  </si>
  <si>
    <t>COOPERATIVA DE TRABAJO TAIÑ PEWMAN LIMITADA</t>
  </si>
  <si>
    <t>652328415</t>
  </si>
  <si>
    <t>COOPERATIVA DE TRABAJO LAGUNA VERDE ECOLOGICA</t>
  </si>
  <si>
    <t>65235014-3</t>
  </si>
  <si>
    <t>COOPERATIVA DE SERVICIOS LA RUKA</t>
  </si>
  <si>
    <t>65233637-K</t>
  </si>
  <si>
    <t>COOPERATIVA DE SERVICIOS Y MODA CIRCULAR GUAYACAN</t>
  </si>
  <si>
    <t>65234126-8</t>
  </si>
  <si>
    <t>COOPERATIVA AGRICOLA MIELKI COLMENARES DEL</t>
  </si>
  <si>
    <t>65234509-3</t>
  </si>
  <si>
    <t>COOPERATIVA CREATIVA DE LA PATAGONIA</t>
  </si>
  <si>
    <t>65130735-K</t>
  </si>
  <si>
    <t>COOPERATIVA APICOLA COLLIPULLI LIMITADA</t>
  </si>
  <si>
    <t>65235619-2</t>
  </si>
  <si>
    <t>COOPERATIVA DE TRABAJO MUNDO RURAL COLCHAGUA</t>
  </si>
  <si>
    <t>77916246-K</t>
  </si>
  <si>
    <t>COOPERATIVA DE SERVICIOS MERCADO REGIONAL O'HIGGINS LIMITADA</t>
  </si>
  <si>
    <t>82262600-9</t>
  </si>
  <si>
    <t>COOPERATIVA AGRICOLA PISQUERA ELQUI LIMITADA</t>
  </si>
  <si>
    <t>65235972-8</t>
  </si>
  <si>
    <t>COOPERATIVA AGRICOLA YUYO HUILLANCO LIMITADA</t>
  </si>
  <si>
    <t>65236444-6</t>
  </si>
  <si>
    <t>COOPERATIVA DE SERVICIOS TURISTICOS, CULTURA Y PATRIMONIO RUTA SIETE TOURS</t>
  </si>
  <si>
    <t>65236128-5</t>
  </si>
  <si>
    <t>COOPERATIVA AGROALIMENTARIA, GASTRONOMICA Y DE SERVICIOS MAÑIHUALES PATAGONIA SUR</t>
  </si>
  <si>
    <t>65236714-3</t>
  </si>
  <si>
    <t>COOPERATIVA DE TRABAJO PANGEA</t>
  </si>
  <si>
    <t>65188056-4</t>
  </si>
  <si>
    <t>COOPERATIVA DE TRABAJO GRAFICA CHILENA</t>
  </si>
  <si>
    <t>65240107-4</t>
  </si>
  <si>
    <t>COOPERATIVA DE TRABAJO TRES</t>
  </si>
  <si>
    <t>65238479K</t>
  </si>
  <si>
    <t>COOPERATIVA DE SERVICIOS COMERCIALES PISCOS ELITE DE CHILE LIMITADA</t>
  </si>
  <si>
    <t>65240556-8</t>
  </si>
  <si>
    <t>COOPERATIVA DE TRABAJO AJUSTE DE CUENTAS SELLO MUSICAL</t>
  </si>
  <si>
    <t>652415547</t>
  </si>
  <si>
    <t>COOPERATIVA CAMPESINA AGROPECUARIA ECOMUJERES LIMITADA</t>
  </si>
  <si>
    <t>65241878-3</t>
  </si>
  <si>
    <t>COOPERATIVA AGRICOLA MUNAY MASI LIMITADA</t>
  </si>
  <si>
    <t>77970972-8</t>
  </si>
  <si>
    <t>COOPERATIVA CAMPESINA DE TURISMO RURAL HUELLAS DE CACHAPOAL LIMITADA</t>
  </si>
  <si>
    <t>65242265-9</t>
  </si>
  <si>
    <t>COOPERATIVA DE SERVICIOS DIAGUITA SUNKU LIMITADA</t>
  </si>
  <si>
    <t>65233988-3</t>
  </si>
  <si>
    <t>COOPERATIVA DE SERVICIOS PIEDRAS PAREDES LIMITADA</t>
  </si>
  <si>
    <t>65243167-4</t>
  </si>
  <si>
    <t>COOPERATIVA DE TRABAJO SABORES ORIGINARIOS LTDA</t>
  </si>
  <si>
    <t>COOPERATIVA DE AHORRO Y CREDITO TALAGANTE LTDA.</t>
  </si>
  <si>
    <t>COOPERATIVA DE AHORRO Y CREDITO UNION AEREA LTDA.</t>
  </si>
  <si>
    <t>Coop. de Ahorro y Crédito Lautaro Rosas</t>
  </si>
  <si>
    <t>CUENTA DE PRODUCCIÓN Y GENERACIÓN DEL INGRESO — SEGMENTO CMF (7 CAC supervisadas 2013–2025)</t>
  </si>
  <si>
    <t>CUENTA FINANCIERA — BALANCE GENERAL TOTAL</t>
  </si>
  <si>
    <t>CUENTA DE PRODUCCIÓN Y GENERACIÓN DEL INGRESO TOTAL — CMF + DAES</t>
  </si>
  <si>
    <t>SEGMENTO DAES — CAC no supervisadas por CMF (Universo: 38 CAC)</t>
  </si>
  <si>
    <t>N en
panel</t>
  </si>
  <si>
    <t>Universo</t>
  </si>
  <si>
    <t>P1</t>
  </si>
  <si>
    <t>D1</t>
  </si>
  <si>
    <t>F2</t>
  </si>
  <si>
    <t>F4</t>
  </si>
  <si>
    <t>Activos</t>
  </si>
  <si>
    <t>Patrimonio</t>
  </si>
  <si>
    <t>%</t>
  </si>
  <si>
    <t>SEGMENTO CMF — 7 CAC supervisadas (Universo: 7 CAC)</t>
  </si>
  <si>
    <t>% de cobertura para ese año</t>
  </si>
  <si>
    <t>Sacamos porcentaje de variable con dato/ total de cooperativas con al menos un dato ese año o variable con dato/ total de cooperativas que tienen al menos un dato entre 2014 y 2024</t>
  </si>
  <si>
    <t>Variable</t>
  </si>
  <si>
    <t>Media</t>
  </si>
  <si>
    <t>Mediana</t>
  </si>
  <si>
    <t>Std</t>
  </si>
  <si>
    <t>Min</t>
  </si>
  <si>
    <t>Max</t>
  </si>
  <si>
    <t>DAES Y CMF— Estadística descriptiva por variable y año — Cifras en MM$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</si>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</sst>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000&quot;%&quot;"/>
    <numFmt numFmtId="166" formatCode="0.0%"/>
    <numFmt numFmtId="167" formatCode="0.000000&quot;%&quot;"/>
    <numFmt numFmtId="168" formatCode="0.0"/>
  </numFmts>
  <fonts count="22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sz val="14"/>
      <color rgb="FFBDD7EE"/>
      <name val="Calibri"/>
      <family val="2"/>
    </font>
    <font>
      <b/>
      <sz val="13"/>
      <color rgb="FFF0A500"/>
      <name val="Calibri"/>
      <family val="2"/>
    </font>
    <font>
      <b/>
      <sz val="11"/>
      <color rgb="FF1B3A6B"/>
      <name val="Calibri"/>
      <family val="2"/>
    </font>
    <font>
      <sz val="10"/>
      <color rgb="FF555555"/>
      <name val="Calibri"/>
      <family val="2"/>
    </font>
    <font>
      <b/>
      <sz val="11"/>
      <color rgb="FF8B6914"/>
      <name val="Calibri"/>
      <family val="2"/>
    </font>
    <font>
      <sz val="9"/>
      <color rgb="FF5D4E00"/>
      <name val="Calibri"/>
      <family val="2"/>
    </font>
    <font>
      <b/>
      <sz val="13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b/>
      <sz val="10"/>
      <color rgb="FF1A1A1A"/>
      <name val="Calibri"/>
      <family val="2"/>
    </font>
    <font>
      <b/>
      <sz val="10"/>
      <color rgb="FF2E5FA3"/>
      <name val="Calibri"/>
      <family val="2"/>
    </font>
    <font>
      <b/>
      <sz val="10"/>
      <color rgb="FF2E7D52"/>
      <name val="Calibri"/>
      <family val="2"/>
    </font>
    <font>
      <b/>
      <sz val="9"/>
      <color rgb="FFFFFFFF"/>
      <name val="Calibri"/>
      <family val="2"/>
    </font>
    <font>
      <sz val="10"/>
      <color rgb="FF2E5FA3"/>
      <name val="Calibri"/>
      <family val="2"/>
    </font>
    <font>
      <sz val="10"/>
      <color rgb="FF2E7D5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A500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9E6"/>
      </patternFill>
    </fill>
    <fill>
      <patternFill patternType="solid">
        <fgColor rgb="FF2E5FA3"/>
      </patternFill>
    </fill>
    <fill>
      <patternFill patternType="solid">
        <fgColor rgb="FFEBF0FA"/>
      </patternFill>
    </fill>
    <fill>
      <patternFill patternType="solid">
        <fgColor rgb="FFD0DCF5"/>
      </patternFill>
    </fill>
    <fill>
      <patternFill patternType="solid">
        <fgColor rgb="FF1A4731"/>
      </patternFill>
    </fill>
    <fill>
      <patternFill patternType="solid">
        <fgColor rgb="FF2E7D52"/>
      </patternFill>
    </fill>
    <fill>
      <patternFill patternType="solid">
        <fgColor rgb="FFE8F5EE"/>
      </patternFill>
    </fill>
    <fill>
      <patternFill patternType="solid">
        <fgColor rgb="FFC8E6D4"/>
      </patternFill>
    </fill>
    <fill>
      <patternFill patternType="solid">
        <fgColor rgb="FF3D3D3D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02BA2E"/>
        <bgColor indexed="64"/>
      </patternFill>
    </fill>
    <fill>
      <patternFill patternType="solid">
        <fgColor rgb="FF321AC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/>
      <right/>
      <top/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DDDDDD"/>
      </left>
      <right style="hair">
        <color rgb="FFDDDDDD"/>
      </right>
      <top/>
      <bottom style="hair">
        <color rgb="FFDDDDDD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0" fillId="3" borderId="0" xfId="0" applyFill="1"/>
    <xf numFmtId="0" fontId="10" fillId="2" borderId="1" xfId="0" applyFont="1" applyFill="1" applyBorder="1" applyAlignment="1">
      <alignment horizontal="center" vertical="center" wrapText="1"/>
    </xf>
    <xf numFmtId="1" fontId="11" fillId="8" borderId="2" xfId="0" applyNumberFormat="1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right" vertical="center"/>
    </xf>
    <xf numFmtId="164" fontId="12" fillId="8" borderId="2" xfId="0" applyNumberFormat="1" applyFont="1" applyFill="1" applyBorder="1" applyAlignment="1">
      <alignment horizontal="right" vertical="center"/>
    </xf>
    <xf numFmtId="2" fontId="11" fillId="8" borderId="2" xfId="0" applyNumberFormat="1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right" vertical="center"/>
    </xf>
    <xf numFmtId="165" fontId="13" fillId="8" borderId="2" xfId="0" applyNumberFormat="1" applyFont="1" applyFill="1" applyBorder="1" applyAlignment="1">
      <alignment horizontal="right" vertical="center"/>
    </xf>
    <xf numFmtId="1" fontId="11" fillId="4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right" vertical="center"/>
    </xf>
    <xf numFmtId="164" fontId="12" fillId="4" borderId="2" xfId="0" applyNumberFormat="1" applyFont="1" applyFill="1" applyBorder="1" applyAlignment="1">
      <alignment horizontal="right" vertical="center"/>
    </xf>
    <xf numFmtId="2" fontId="11" fillId="4" borderId="2" xfId="0" applyNumberFormat="1" applyFont="1" applyFill="1" applyBorder="1" applyAlignment="1">
      <alignment horizontal="center" vertical="center"/>
    </xf>
    <xf numFmtId="3" fontId="11" fillId="4" borderId="2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6" fontId="11" fillId="4" borderId="2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167" fontId="13" fillId="8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167" fontId="13" fillId="4" borderId="2" xfId="0" applyNumberFormat="1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1" fontId="11" fillId="12" borderId="4" xfId="0" applyNumberFormat="1" applyFont="1" applyFill="1" applyBorder="1" applyAlignment="1">
      <alignment horizontal="center" vertical="center"/>
    </xf>
    <xf numFmtId="164" fontId="11" fillId="12" borderId="4" xfId="0" applyNumberFormat="1" applyFont="1" applyFill="1" applyBorder="1" applyAlignment="1">
      <alignment horizontal="right" vertical="center"/>
    </xf>
    <xf numFmtId="164" fontId="12" fillId="12" borderId="4" xfId="0" applyNumberFormat="1" applyFont="1" applyFill="1" applyBorder="1" applyAlignment="1">
      <alignment horizontal="right" vertical="center"/>
    </xf>
    <xf numFmtId="2" fontId="11" fillId="12" borderId="4" xfId="0" applyNumberFormat="1" applyFont="1" applyFill="1" applyBorder="1" applyAlignment="1">
      <alignment horizontal="center" vertical="center"/>
    </xf>
    <xf numFmtId="3" fontId="11" fillId="12" borderId="4" xfId="0" applyNumberFormat="1" applyFont="1" applyFill="1" applyBorder="1" applyAlignment="1">
      <alignment horizontal="right" vertical="center"/>
    </xf>
    <xf numFmtId="165" fontId="14" fillId="12" borderId="4" xfId="0" applyNumberFormat="1" applyFont="1" applyFill="1" applyBorder="1" applyAlignment="1">
      <alignment horizontal="right" vertical="center"/>
    </xf>
    <xf numFmtId="1" fontId="11" fillId="4" borderId="4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right" vertical="center"/>
    </xf>
    <xf numFmtId="164" fontId="12" fillId="4" borderId="4" xfId="0" applyNumberFormat="1" applyFont="1" applyFill="1" applyBorder="1" applyAlignment="1">
      <alignment horizontal="right" vertical="center"/>
    </xf>
    <xf numFmtId="2" fontId="11" fillId="4" borderId="4" xfId="0" applyNumberFormat="1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right" vertical="center"/>
    </xf>
    <xf numFmtId="165" fontId="14" fillId="4" borderId="4" xfId="0" applyNumberFormat="1" applyFont="1" applyFill="1" applyBorder="1" applyAlignment="1">
      <alignment horizontal="right" vertical="center"/>
    </xf>
    <xf numFmtId="0" fontId="17" fillId="12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167" fontId="14" fillId="12" borderId="4" xfId="0" applyNumberFormat="1" applyFont="1" applyFill="1" applyBorder="1" applyAlignment="1">
      <alignment horizontal="right" vertical="center"/>
    </xf>
    <xf numFmtId="0" fontId="17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167" fontId="14" fillId="4" borderId="4" xfId="0" applyNumberFormat="1" applyFont="1" applyFill="1" applyBorder="1" applyAlignment="1">
      <alignment horizontal="right" vertical="center"/>
    </xf>
    <xf numFmtId="165" fontId="12" fillId="13" borderId="1" xfId="0" applyNumberFormat="1" applyFont="1" applyFill="1" applyBorder="1" applyAlignment="1">
      <alignment horizontal="center" vertical="center"/>
    </xf>
    <xf numFmtId="9" fontId="11" fillId="12" borderId="4" xfId="1" applyFont="1" applyFill="1" applyBorder="1" applyAlignment="1">
      <alignment horizontal="right" vertical="center"/>
    </xf>
    <xf numFmtId="9" fontId="11" fillId="4" borderId="4" xfId="1" applyFont="1" applyFill="1" applyBorder="1" applyAlignment="1">
      <alignment horizontal="right" vertical="center"/>
    </xf>
    <xf numFmtId="9" fontId="12" fillId="8" borderId="2" xfId="1" applyFont="1" applyFill="1" applyBorder="1" applyAlignment="1">
      <alignment horizontal="center" vertical="center"/>
    </xf>
    <xf numFmtId="9" fontId="12" fillId="4" borderId="2" xfId="1" applyFont="1" applyFill="1" applyBorder="1" applyAlignment="1">
      <alignment horizontal="center" vertical="center"/>
    </xf>
    <xf numFmtId="9" fontId="11" fillId="12" borderId="4" xfId="1" applyFont="1" applyFill="1" applyBorder="1" applyAlignment="1">
      <alignment horizontal="center" vertical="center"/>
    </xf>
    <xf numFmtId="9" fontId="11" fillId="4" borderId="4" xfId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1" fontId="11" fillId="8" borderId="9" xfId="0" applyNumberFormat="1" applyFont="1" applyFill="1" applyBorder="1" applyAlignment="1">
      <alignment horizontal="center" vertical="center"/>
    </xf>
    <xf numFmtId="9" fontId="12" fillId="8" borderId="9" xfId="1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1" fontId="11" fillId="12" borderId="10" xfId="0" applyNumberFormat="1" applyFont="1" applyFill="1" applyBorder="1" applyAlignment="1">
      <alignment horizontal="center" vertical="center"/>
    </xf>
    <xf numFmtId="9" fontId="11" fillId="12" borderId="10" xfId="1" applyFont="1" applyFill="1" applyBorder="1" applyAlignment="1">
      <alignment horizontal="center" vertical="center"/>
    </xf>
    <xf numFmtId="0" fontId="19" fillId="17" borderId="8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4" fontId="11" fillId="4" borderId="2" xfId="0" applyNumberFormat="1" applyFont="1" applyFill="1" applyBorder="1" applyAlignment="1">
      <alignment horizontal="right" vertical="center"/>
    </xf>
    <xf numFmtId="0" fontId="0" fillId="19" borderId="0" xfId="0" applyFill="1"/>
    <xf numFmtId="168" fontId="0" fillId="19" borderId="0" xfId="0" applyNumberFormat="1" applyFill="1"/>
    <xf numFmtId="0" fontId="19" fillId="20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0" fillId="0" borderId="0" xfId="0"/>
    <xf numFmtId="0" fontId="12" fillId="9" borderId="1" xfId="0" applyFont="1" applyFill="1" applyBorder="1" applyAlignment="1">
      <alignment horizontal="right" vertical="center"/>
    </xf>
    <xf numFmtId="0" fontId="0" fillId="0" borderId="3" xfId="0" applyBorder="1"/>
    <xf numFmtId="0" fontId="9" fillId="7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12" fillId="13" borderId="1" xfId="0" applyFont="1" applyFill="1" applyBorder="1" applyAlignment="1">
      <alignment horizontal="right" vertical="center"/>
    </xf>
    <xf numFmtId="0" fontId="9" fillId="11" borderId="6" xfId="0" applyFont="1" applyFill="1" applyBorder="1" applyAlignment="1">
      <alignment horizontal="center" vertical="center"/>
    </xf>
    <xf numFmtId="0" fontId="0" fillId="0" borderId="6" xfId="0" applyBorder="1"/>
    <xf numFmtId="0" fontId="12" fillId="13" borderId="7" xfId="0" applyFont="1" applyFill="1" applyBorder="1" applyAlignment="1">
      <alignment horizontal="right" vertical="center"/>
    </xf>
    <xf numFmtId="0" fontId="8" fillId="14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321AC4"/>
      <color rgb="FF02BA2E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H39"/>
  <sheetViews>
    <sheetView topLeftCell="A19" zoomScale="9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8" width="18" customWidth="1"/>
  </cols>
  <sheetData>
    <row r="1" spans="1:8" ht="7.95" customHeight="1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31.95" customHeight="1" x14ac:dyDescent="0.3">
      <c r="A3" s="1"/>
      <c r="B3" s="81" t="s">
        <v>0</v>
      </c>
      <c r="C3" s="76"/>
      <c r="D3" s="76"/>
      <c r="E3" s="76"/>
      <c r="F3" s="76"/>
      <c r="G3" s="76"/>
      <c r="H3" s="76"/>
    </row>
    <row r="4" spans="1:8" x14ac:dyDescent="0.3">
      <c r="A4" s="1"/>
      <c r="B4" s="76"/>
      <c r="C4" s="76"/>
      <c r="D4" s="76"/>
      <c r="E4" s="76"/>
      <c r="F4" s="76"/>
      <c r="G4" s="76"/>
      <c r="H4" s="76"/>
    </row>
    <row r="5" spans="1:8" x14ac:dyDescent="0.3">
      <c r="A5" s="1"/>
      <c r="B5" s="76"/>
      <c r="C5" s="76"/>
      <c r="D5" s="76"/>
      <c r="E5" s="76"/>
      <c r="F5" s="76"/>
      <c r="G5" s="76"/>
      <c r="H5" s="76"/>
    </row>
    <row r="6" spans="1:8" ht="24" customHeight="1" x14ac:dyDescent="0.3">
      <c r="A6" s="1"/>
      <c r="B6" s="83" t="s">
        <v>1</v>
      </c>
      <c r="C6" s="76"/>
      <c r="D6" s="76"/>
      <c r="E6" s="76"/>
      <c r="F6" s="76"/>
      <c r="G6" s="76"/>
      <c r="H6" s="76"/>
    </row>
    <row r="7" spans="1:8" x14ac:dyDescent="0.3">
      <c r="A7" s="1"/>
      <c r="B7" s="76"/>
      <c r="C7" s="76"/>
      <c r="D7" s="76"/>
      <c r="E7" s="76"/>
      <c r="F7" s="76"/>
      <c r="G7" s="76"/>
      <c r="H7" s="76"/>
    </row>
    <row r="8" spans="1:8" ht="6" customHeight="1" x14ac:dyDescent="0.3">
      <c r="A8" s="1"/>
      <c r="B8" s="2"/>
      <c r="C8" s="2"/>
      <c r="D8" s="2"/>
      <c r="E8" s="2"/>
      <c r="F8" s="2"/>
      <c r="G8" s="2"/>
      <c r="H8" s="2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ht="17.399999999999999" x14ac:dyDescent="0.3">
      <c r="A10" s="1"/>
      <c r="B10" s="86" t="s">
        <v>2</v>
      </c>
      <c r="C10" s="76"/>
      <c r="D10" s="76"/>
      <c r="E10" s="76"/>
      <c r="F10" s="76"/>
      <c r="G10" s="76"/>
      <c r="H10" s="76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ht="18" customHeight="1" x14ac:dyDescent="0.3">
      <c r="A12" s="1"/>
      <c r="B12" s="84" t="s">
        <v>3</v>
      </c>
      <c r="C12" s="76"/>
      <c r="D12" s="76"/>
      <c r="E12" s="76"/>
      <c r="F12" s="76"/>
      <c r="G12" s="76"/>
      <c r="H12" s="76"/>
    </row>
    <row r="13" spans="1:8" ht="18" customHeight="1" x14ac:dyDescent="0.3">
      <c r="A13" s="1"/>
      <c r="B13" s="82" t="s">
        <v>4</v>
      </c>
      <c r="C13" s="76"/>
      <c r="D13" s="76"/>
      <c r="E13" s="76"/>
      <c r="F13" s="76"/>
      <c r="G13" s="76"/>
      <c r="H13" s="76"/>
    </row>
    <row r="14" spans="1:8" ht="18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18" customHeight="1" x14ac:dyDescent="0.3">
      <c r="A15" s="1"/>
      <c r="B15" s="84" t="s">
        <v>5</v>
      </c>
      <c r="C15" s="76"/>
      <c r="D15" s="76"/>
      <c r="E15" s="76"/>
      <c r="F15" s="76"/>
      <c r="G15" s="76"/>
      <c r="H15" s="76"/>
    </row>
    <row r="16" spans="1:8" ht="18" customHeight="1" x14ac:dyDescent="0.3">
      <c r="A16" s="1"/>
      <c r="B16" s="82" t="s">
        <v>6</v>
      </c>
      <c r="C16" s="76"/>
      <c r="D16" s="76"/>
      <c r="E16" s="76"/>
      <c r="F16" s="76"/>
      <c r="G16" s="76"/>
      <c r="H16" s="76"/>
    </row>
    <row r="17" spans="1:8" ht="18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18" customHeight="1" x14ac:dyDescent="0.3">
      <c r="A18" s="1"/>
      <c r="B18" s="84" t="s">
        <v>7</v>
      </c>
      <c r="C18" s="76"/>
      <c r="D18" s="76"/>
      <c r="E18" s="76"/>
      <c r="F18" s="76"/>
      <c r="G18" s="76"/>
      <c r="H18" s="76"/>
    </row>
    <row r="19" spans="1:8" ht="18" customHeight="1" x14ac:dyDescent="0.3">
      <c r="A19" s="1"/>
      <c r="B19" s="82" t="s">
        <v>8</v>
      </c>
      <c r="C19" s="76"/>
      <c r="D19" s="76"/>
      <c r="E19" s="76"/>
      <c r="F19" s="76"/>
      <c r="G19" s="76"/>
      <c r="H19" s="76"/>
    </row>
    <row r="20" spans="1:8" ht="18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18" customHeight="1" x14ac:dyDescent="0.3">
      <c r="A21" s="1"/>
      <c r="B21" s="84" t="s">
        <v>9</v>
      </c>
      <c r="C21" s="76"/>
      <c r="D21" s="76"/>
      <c r="E21" s="76"/>
      <c r="F21" s="76"/>
      <c r="G21" s="76"/>
      <c r="H21" s="76"/>
    </row>
    <row r="22" spans="1:8" ht="18" customHeight="1" x14ac:dyDescent="0.3">
      <c r="B22" s="82" t="s">
        <v>10</v>
      </c>
      <c r="C22" s="76"/>
      <c r="D22" s="76"/>
      <c r="E22" s="76"/>
      <c r="F22" s="76"/>
      <c r="G22" s="76"/>
      <c r="H22" s="76"/>
    </row>
    <row r="23" spans="1:8" ht="18" customHeight="1" x14ac:dyDescent="0.3"/>
    <row r="24" spans="1:8" ht="18" customHeight="1" x14ac:dyDescent="0.3">
      <c r="B24" s="84" t="s">
        <v>11</v>
      </c>
      <c r="C24" s="76"/>
      <c r="D24" s="76"/>
      <c r="E24" s="76"/>
      <c r="F24" s="76"/>
      <c r="G24" s="76"/>
      <c r="H24" s="76"/>
    </row>
    <row r="25" spans="1:8" ht="18" customHeight="1" x14ac:dyDescent="0.3">
      <c r="B25" s="82" t="s">
        <v>12</v>
      </c>
      <c r="C25" s="76"/>
      <c r="D25" s="76"/>
      <c r="E25" s="76"/>
      <c r="F25" s="76"/>
      <c r="G25" s="76"/>
      <c r="H25" s="76"/>
    </row>
    <row r="26" spans="1:8" ht="18" customHeight="1" x14ac:dyDescent="0.3"/>
    <row r="27" spans="1:8" ht="18" customHeight="1" x14ac:dyDescent="0.3">
      <c r="B27" s="84" t="s">
        <v>13</v>
      </c>
      <c r="C27" s="76"/>
      <c r="D27" s="76"/>
      <c r="E27" s="76"/>
      <c r="F27" s="76"/>
      <c r="G27" s="76"/>
      <c r="H27" s="76"/>
    </row>
    <row r="28" spans="1:8" ht="18" customHeight="1" x14ac:dyDescent="0.3">
      <c r="B28" s="82" t="s">
        <v>14</v>
      </c>
      <c r="C28" s="76"/>
      <c r="D28" s="76"/>
      <c r="E28" s="76"/>
      <c r="F28" s="76"/>
      <c r="G28" s="76"/>
      <c r="H28" s="76"/>
    </row>
    <row r="29" spans="1:8" ht="18" customHeight="1" x14ac:dyDescent="0.3"/>
    <row r="30" spans="1:8" ht="18" customHeight="1" x14ac:dyDescent="0.3">
      <c r="B30" s="84" t="s">
        <v>15</v>
      </c>
      <c r="C30" s="76"/>
      <c r="D30" s="76"/>
      <c r="E30" s="76"/>
      <c r="F30" s="76"/>
      <c r="G30" s="76"/>
      <c r="H30" s="76"/>
    </row>
    <row r="31" spans="1:8" ht="18" customHeight="1" x14ac:dyDescent="0.3">
      <c r="B31" s="82" t="s">
        <v>16</v>
      </c>
      <c r="C31" s="76"/>
      <c r="D31" s="76"/>
      <c r="E31" s="76"/>
      <c r="F31" s="76"/>
      <c r="G31" s="76"/>
      <c r="H31" s="76"/>
    </row>
    <row r="32" spans="1:8" ht="18" customHeight="1" x14ac:dyDescent="0.3"/>
    <row r="33" spans="2:8" ht="18" customHeight="1" x14ac:dyDescent="0.3"/>
    <row r="34" spans="2:8" ht="18" customHeight="1" x14ac:dyDescent="0.3">
      <c r="B34" s="87" t="s">
        <v>17</v>
      </c>
      <c r="C34" s="76"/>
      <c r="D34" s="76"/>
      <c r="E34" s="76"/>
      <c r="F34" s="76"/>
      <c r="G34" s="76"/>
      <c r="H34" s="76"/>
    </row>
    <row r="35" spans="2:8" ht="18" customHeight="1" x14ac:dyDescent="0.3">
      <c r="B35" s="85" t="s">
        <v>18</v>
      </c>
      <c r="C35" s="76"/>
      <c r="D35" s="76"/>
      <c r="E35" s="76"/>
      <c r="F35" s="76"/>
      <c r="G35" s="76"/>
      <c r="H35" s="76"/>
    </row>
    <row r="36" spans="2:8" ht="18" customHeight="1" x14ac:dyDescent="0.3">
      <c r="B36" s="85" t="s">
        <v>19</v>
      </c>
      <c r="C36" s="76"/>
      <c r="D36" s="76"/>
      <c r="E36" s="76"/>
      <c r="F36" s="76"/>
      <c r="G36" s="76"/>
      <c r="H36" s="76"/>
    </row>
    <row r="37" spans="2:8" ht="18" customHeight="1" x14ac:dyDescent="0.3">
      <c r="B37" s="85" t="s">
        <v>20</v>
      </c>
      <c r="C37" s="76"/>
      <c r="D37" s="76"/>
      <c r="E37" s="76"/>
      <c r="F37" s="76"/>
      <c r="G37" s="76"/>
      <c r="H37" s="76"/>
    </row>
    <row r="38" spans="2:8" ht="18" customHeight="1" x14ac:dyDescent="0.3">
      <c r="B38" s="85" t="s">
        <v>21</v>
      </c>
      <c r="C38" s="76"/>
      <c r="D38" s="76"/>
      <c r="E38" s="76"/>
      <c r="F38" s="76"/>
      <c r="G38" s="76"/>
      <c r="H38" s="76"/>
    </row>
    <row r="39" spans="2:8" ht="18" customHeight="1" x14ac:dyDescent="0.3">
      <c r="B39" s="85" t="s">
        <v>22</v>
      </c>
      <c r="C39" s="76"/>
      <c r="D39" s="76"/>
      <c r="E39" s="76"/>
      <c r="F39" s="76"/>
      <c r="G39" s="76"/>
      <c r="H39" s="76"/>
    </row>
  </sheetData>
  <mergeCells count="23">
    <mergeCell ref="B39:H39"/>
    <mergeCell ref="B13:H13"/>
    <mergeCell ref="B38:H38"/>
    <mergeCell ref="B10:H10"/>
    <mergeCell ref="B19:H19"/>
    <mergeCell ref="B34:H34"/>
    <mergeCell ref="B28:H28"/>
    <mergeCell ref="B30:H30"/>
    <mergeCell ref="B37:H37"/>
    <mergeCell ref="B36:H36"/>
    <mergeCell ref="B35:H35"/>
    <mergeCell ref="B31:H31"/>
    <mergeCell ref="B3:H5"/>
    <mergeCell ref="B22:H22"/>
    <mergeCell ref="B6:H7"/>
    <mergeCell ref="B18:H18"/>
    <mergeCell ref="B27:H27"/>
    <mergeCell ref="B21:H21"/>
    <mergeCell ref="B12:H12"/>
    <mergeCell ref="B24:H24"/>
    <mergeCell ref="B15:H15"/>
    <mergeCell ref="B16:H16"/>
    <mergeCell ref="B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K31"/>
  <sheetViews>
    <sheetView zoomScale="90" workbookViewId="0">
      <pane ySplit="3" topLeftCell="A6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8" customWidth="1"/>
    <col min="2" max="2" width="6" customWidth="1"/>
    <col min="3" max="8" width="16" customWidth="1"/>
    <col min="9" max="9" width="10" customWidth="1"/>
    <col min="10" max="10" width="20" customWidth="1"/>
    <col min="11" max="11" width="14" customWidth="1"/>
  </cols>
  <sheetData>
    <row r="1" spans="1:11" ht="28.05" customHeight="1" x14ac:dyDescent="0.3">
      <c r="A1" s="80" t="s">
        <v>23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16.05" customHeight="1" x14ac:dyDescent="0.3">
      <c r="A2" s="79" t="s">
        <v>24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31.95" customHeight="1" x14ac:dyDescent="0.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</row>
    <row r="4" spans="1:11" ht="16.95" customHeight="1" x14ac:dyDescent="0.3">
      <c r="A4" s="4">
        <v>2014</v>
      </c>
      <c r="B4" s="4">
        <f>+COUNTIFS('📁 Panel DAES'!$D$3:$D$135,'📊 Agregados DAES'!A4,'📁 Panel DAES'!$E$3:$E$135,"&lt;&gt;",'📁 Panel DAES'!$H$3:$H$135,"&lt;&gt;")</f>
        <v>2</v>
      </c>
      <c r="C4" s="5">
        <f>+SUMIF('📁 Panel DAES'!$D$3:$D$135,'📊 Agregados DAES'!A4,'📁 Panel DAES'!$E$3:$E$135)</f>
        <v>247.89282</v>
      </c>
      <c r="D4" s="5">
        <f>0.3776*C4</f>
        <v>93.604328831999993</v>
      </c>
      <c r="E4" s="6">
        <f>+C4-D4</f>
        <v>154.28849116800001</v>
      </c>
      <c r="F4" s="5">
        <f>+SUMIF('📁 Panel DAES'!$D$3:$D$135,'📊 Agregados DAES'!A4,'📁 Panel DAES'!$H$3:$H$135)</f>
        <v>78.223597000000012</v>
      </c>
      <c r="G4" s="5">
        <f>+E4-F4</f>
        <v>76.064894167999995</v>
      </c>
      <c r="H4" s="5">
        <f>+SUMIF('📁 Panel DAES'!$D$3:$D$135,'📊 Agregados DAES'!A4,'📁 Panel DAES'!$J$3:$J$135)</f>
        <v>-6.8529239999999998</v>
      </c>
      <c r="I4" s="7">
        <f>+F4/E4</f>
        <v>0.50699567030456427</v>
      </c>
      <c r="J4" s="8">
        <v>144706000</v>
      </c>
      <c r="K4" s="9">
        <f>+(E4/J4)*100</f>
        <v>1.0662204135834036E-4</v>
      </c>
    </row>
    <row r="5" spans="1:11" ht="16.95" customHeight="1" x14ac:dyDescent="0.3">
      <c r="A5" s="10">
        <v>2015</v>
      </c>
      <c r="B5" s="10">
        <f>+COUNTIFS('📁 Panel DAES'!$D$3:$D$135,'📊 Agregados DAES'!A5,'📁 Panel DAES'!$E$3:$E$135,"&lt;&gt;",'📁 Panel DAES'!$H$3:$H$135,"&lt;&gt;")</f>
        <v>7</v>
      </c>
      <c r="C5" s="11">
        <f>+SUMIF('📁 Panel DAES'!$D$3:$D$135,'📊 Agregados DAES'!A5,'📁 Panel DAES'!$E$3:$E$135)</f>
        <v>5426.0643840000002</v>
      </c>
      <c r="D5" s="11">
        <f>0.3776*C5</f>
        <v>2048.8819113984</v>
      </c>
      <c r="E5" s="12">
        <f t="shared" ref="E5:E14" si="0">+C5-D5</f>
        <v>3377.1824726016002</v>
      </c>
      <c r="F5" s="11">
        <f>+SUMIF('📁 Panel DAES'!$D$3:$D$135,'📊 Agregados DAES'!A5,'📁 Panel DAES'!$H$3:$H$135)</f>
        <v>1762.8157819999999</v>
      </c>
      <c r="G5" s="11">
        <f>+E5-F5</f>
        <v>1614.3666906016003</v>
      </c>
      <c r="H5" s="11">
        <f>+SUMIF('📁 Panel DAES'!$D$3:$D$135,'📊 Agregados DAES'!A5,'📁 Panel DAES'!$J$3:$J$135)</f>
        <v>740.60321199999998</v>
      </c>
      <c r="I5" s="13">
        <f t="shared" ref="I5:I14" si="1">+F5/E5</f>
        <v>0.52197824556457006</v>
      </c>
      <c r="J5" s="14">
        <v>158623000</v>
      </c>
      <c r="K5" s="9">
        <f>+(E5/J5)*100</f>
        <v>2.1290622876894271E-3</v>
      </c>
    </row>
    <row r="6" spans="1:11" ht="16.95" customHeight="1" x14ac:dyDescent="0.3">
      <c r="A6" s="4">
        <v>2016</v>
      </c>
      <c r="B6" s="4">
        <f>+COUNTIFS('📁 Panel DAES'!$D$3:$D$135,'📊 Agregados DAES'!A6,'📁 Panel DAES'!$E$3:$E$135,"&lt;&gt;",'📁 Panel DAES'!$H$3:$H$135,"&lt;&gt;")</f>
        <v>9</v>
      </c>
      <c r="C6" s="5">
        <f>+SUMIF('📁 Panel DAES'!$D$3:$D$135,'📊 Agregados DAES'!A6,'📁 Panel DAES'!$E$3:$E$135)</f>
        <v>6083.2352600000004</v>
      </c>
      <c r="D6" s="5">
        <f t="shared" ref="D6:D14" si="2">0.3776*C6</f>
        <v>2297.0296341759999</v>
      </c>
      <c r="E6" s="6">
        <f t="shared" si="0"/>
        <v>3786.2056258240004</v>
      </c>
      <c r="F6" s="5">
        <f>+SUMIF('📁 Panel DAES'!$D$3:$D$135,'📊 Agregados DAES'!A6,'📁 Panel DAES'!$H$3:$H$135)</f>
        <v>2000.2756970000003</v>
      </c>
      <c r="G6" s="5">
        <f>+E6-F6</f>
        <v>1785.9299288240002</v>
      </c>
      <c r="H6" s="5">
        <f>+SUMIF('📁 Panel DAES'!$D$3:$D$135,'📊 Agregados DAES'!A6,'📁 Panel DAES'!$J$3:$J$135)</f>
        <v>350.45644500000003</v>
      </c>
      <c r="I6" s="7">
        <f t="shared" si="1"/>
        <v>0.52830614464175485</v>
      </c>
      <c r="J6" s="8">
        <v>168765000</v>
      </c>
      <c r="K6" s="9">
        <f t="shared" ref="K6:K14" si="3">+(E6/J6)*100</f>
        <v>2.2434779876301368E-3</v>
      </c>
    </row>
    <row r="7" spans="1:11" ht="16.95" customHeight="1" x14ac:dyDescent="0.3">
      <c r="A7" s="10">
        <v>2017</v>
      </c>
      <c r="B7" s="10">
        <f>+COUNTIFS('📁 Panel DAES'!$D$3:$D$135,'📊 Agregados DAES'!A7,'📁 Panel DAES'!$E$3:$E$135,"&lt;&gt;",'📁 Panel DAES'!$H$3:$H$135,"&lt;&gt;")</f>
        <v>12</v>
      </c>
      <c r="C7" s="11">
        <f>+SUMIF('📁 Panel DAES'!$D$3:$D$135,'📊 Agregados DAES'!A7,'📁 Panel DAES'!$E$3:$E$135)</f>
        <v>6224.2480820000001</v>
      </c>
      <c r="D7" s="11">
        <f t="shared" si="2"/>
        <v>2350.2760757632</v>
      </c>
      <c r="E7" s="12">
        <f t="shared" si="0"/>
        <v>3873.9720062368001</v>
      </c>
      <c r="F7" s="11">
        <f>+SUMIF('📁 Panel DAES'!$D$3:$D$135,'📊 Agregados DAES'!A7,'📁 Panel DAES'!$H$3:$H$135)</f>
        <v>2622.2251430000001</v>
      </c>
      <c r="G7" s="11">
        <f>+E7-F7</f>
        <v>1251.7468632368</v>
      </c>
      <c r="H7" s="11">
        <f>+SUMIF('📁 Panel DAES'!$D$3:$D$135,'📊 Agregados DAES'!A7,'📁 Panel DAES'!$J$3:$J$135)</f>
        <v>260.27678899999995</v>
      </c>
      <c r="I7" s="13">
        <f t="shared" si="1"/>
        <v>0.67688283208510991</v>
      </c>
      <c r="J7" s="14">
        <v>179315000</v>
      </c>
      <c r="K7" s="9">
        <f t="shared" si="3"/>
        <v>2.1604283000511951E-3</v>
      </c>
    </row>
    <row r="8" spans="1:11" ht="16.95" customHeight="1" x14ac:dyDescent="0.3">
      <c r="A8" s="4">
        <v>2018</v>
      </c>
      <c r="B8" s="4">
        <f>+COUNTIFS('📁 Panel DAES'!$D$3:$D$135,'📊 Agregados DAES'!A8,'📁 Panel DAES'!$E$3:$E$135,"&lt;&gt;",'📁 Panel DAES'!$H$3:$H$135,"&lt;&gt;")</f>
        <v>14</v>
      </c>
      <c r="C8" s="5">
        <f>+SUMIF('📁 Panel DAES'!$D$3:$D$135,'📊 Agregados DAES'!A8,'📁 Panel DAES'!$E$3:$E$135)</f>
        <v>8977.2603830000007</v>
      </c>
      <c r="D8" s="5">
        <f t="shared" si="2"/>
        <v>3389.8135206208003</v>
      </c>
      <c r="E8" s="6">
        <f t="shared" si="0"/>
        <v>5587.4468623792</v>
      </c>
      <c r="F8" s="5">
        <f>+SUMIF('📁 Panel DAES'!$D$3:$D$135,'📊 Agregados DAES'!A8,'📁 Panel DAES'!$H$3:$H$135)</f>
        <v>4385.2416489999996</v>
      </c>
      <c r="G8" s="5">
        <f>+E8-F8</f>
        <v>1202.2052133792004</v>
      </c>
      <c r="H8" s="5">
        <f>+SUMIF('📁 Panel DAES'!$D$3:$D$135,'📊 Agregados DAES'!A8,'📁 Panel DAES'!$J$3:$J$135)</f>
        <v>628.35660199999984</v>
      </c>
      <c r="I8" s="7">
        <f t="shared" si="1"/>
        <v>0.78483818405974293</v>
      </c>
      <c r="J8" s="8">
        <v>189435000</v>
      </c>
      <c r="K8" s="9">
        <f t="shared" si="3"/>
        <v>2.9495324846935361E-3</v>
      </c>
    </row>
    <row r="9" spans="1:11" ht="16.95" customHeight="1" x14ac:dyDescent="0.3">
      <c r="A9" s="10">
        <v>2019</v>
      </c>
      <c r="B9" s="10">
        <f>+COUNTIFS('📁 Panel DAES'!$D$3:$D$135,'📊 Agregados DAES'!A9,'📁 Panel DAES'!$E$3:$E$135,"&lt;&gt;",'📁 Panel DAES'!$H$3:$H$135,"&lt;&gt;")</f>
        <v>6</v>
      </c>
      <c r="C9" s="11">
        <f>+SUMIF('📁 Panel DAES'!$D$3:$D$135,'📊 Agregados DAES'!A9,'📁 Panel DAES'!$E$3:$E$135)</f>
        <v>4667.2516610000002</v>
      </c>
      <c r="D9" s="11">
        <f t="shared" si="2"/>
        <v>1762.3542271936001</v>
      </c>
      <c r="E9" s="12">
        <f t="shared" si="0"/>
        <v>2904.8974338063999</v>
      </c>
      <c r="F9" s="11">
        <f>+SUMIF('📁 Panel DAES'!$D$3:$D$135,'📊 Agregados DAES'!A9,'📁 Panel DAES'!$H$3:$H$135)</f>
        <v>1854.9875630000001</v>
      </c>
      <c r="G9" s="11">
        <f t="shared" ref="G9:G14" si="4">+E9-F9</f>
        <v>1049.9098708063998</v>
      </c>
      <c r="H9" s="11">
        <f>+SUMIF('📁 Panel DAES'!$D$3:$D$135,'📊 Agregados DAES'!A9,'📁 Panel DAES'!$J$3:$J$135)</f>
        <v>503.36676299999999</v>
      </c>
      <c r="I9" s="13">
        <f t="shared" si="1"/>
        <v>0.63857248156584234</v>
      </c>
      <c r="J9" s="14">
        <v>195548000</v>
      </c>
      <c r="K9" s="9">
        <f t="shared" si="3"/>
        <v>1.485516309962976E-3</v>
      </c>
    </row>
    <row r="10" spans="1:11" ht="16.95" customHeight="1" x14ac:dyDescent="0.3">
      <c r="A10" s="4">
        <v>2020</v>
      </c>
      <c r="B10" s="4">
        <f>+COUNTIFS('📁 Panel DAES'!$D$3:$D$135,'📊 Agregados DAES'!A10,'📁 Panel DAES'!$E$3:$E$135,"&lt;&gt;",'📁 Panel DAES'!$H$3:$H$135,"&lt;&gt;")</f>
        <v>10</v>
      </c>
      <c r="C10" s="5">
        <f>+SUMIF('📁 Panel DAES'!$D$3:$D$135,'📊 Agregados DAES'!A10,'📁 Panel DAES'!$E$3:$E$135)</f>
        <v>6164.6371429999999</v>
      </c>
      <c r="D10" s="5">
        <f t="shared" si="2"/>
        <v>2327.7669851967999</v>
      </c>
      <c r="E10" s="6">
        <f t="shared" si="0"/>
        <v>3836.8701578032001</v>
      </c>
      <c r="F10" s="5">
        <f>+SUMIF('📁 Panel DAES'!$D$3:$D$135,'📊 Agregados DAES'!A10,'📁 Panel DAES'!$H$3:$H$135)</f>
        <v>2419.9053979999999</v>
      </c>
      <c r="G10" s="5">
        <f t="shared" si="4"/>
        <v>1416.9647598032002</v>
      </c>
      <c r="H10" s="5">
        <f>+SUMIF('📁 Panel DAES'!$D$3:$D$135,'📊 Agregados DAES'!A10,'📁 Panel DAES'!$J$3:$J$135)</f>
        <v>155.04947899999999</v>
      </c>
      <c r="I10" s="7">
        <f t="shared" si="1"/>
        <v>0.63069775584626941</v>
      </c>
      <c r="J10" s="8">
        <v>201307000</v>
      </c>
      <c r="K10" s="9">
        <f t="shared" si="3"/>
        <v>1.9059795028504721E-3</v>
      </c>
    </row>
    <row r="11" spans="1:11" ht="16.95" customHeight="1" x14ac:dyDescent="0.3">
      <c r="A11" s="10">
        <v>2021</v>
      </c>
      <c r="B11" s="10">
        <f>+COUNTIFS('📁 Panel DAES'!$D$3:$D$135,'📊 Agregados DAES'!A11,'📁 Panel DAES'!$E$3:$E$135,"&lt;&gt;",'📁 Panel DAES'!$H$3:$H$135,"&lt;&gt;")</f>
        <v>10</v>
      </c>
      <c r="C11" s="11">
        <f>+SUMIF('📁 Panel DAES'!$D$3:$D$135,'📊 Agregados DAES'!A11,'📁 Panel DAES'!$E$3:$E$135)</f>
        <v>6010.520141</v>
      </c>
      <c r="D11" s="11">
        <f t="shared" si="2"/>
        <v>2269.5724052415999</v>
      </c>
      <c r="E11" s="12">
        <f t="shared" si="0"/>
        <v>3740.9477357584001</v>
      </c>
      <c r="F11" s="11">
        <f>+SUMIF('📁 Panel DAES'!$D$3:$D$135,'📊 Agregados DAES'!A11,'📁 Panel DAES'!$H$3:$H$135)</f>
        <v>2030.0231960000001</v>
      </c>
      <c r="G11" s="11">
        <f t="shared" si="4"/>
        <v>1710.9245397584</v>
      </c>
      <c r="H11" s="11">
        <f>+SUMIF('📁 Panel DAES'!$D$3:$D$135,'📊 Agregados DAES'!A11,'📁 Panel DAES'!$J$3:$J$135)</f>
        <v>29.251521000000025</v>
      </c>
      <c r="I11" s="13">
        <f t="shared" si="1"/>
        <v>0.54264944056708531</v>
      </c>
      <c r="J11" s="14">
        <v>239556000</v>
      </c>
      <c r="K11" s="9">
        <f t="shared" si="3"/>
        <v>1.5616172150805655E-3</v>
      </c>
    </row>
    <row r="12" spans="1:11" ht="16.95" customHeight="1" x14ac:dyDescent="0.3">
      <c r="A12" s="4">
        <v>2022</v>
      </c>
      <c r="B12" s="4">
        <f>+COUNTIFS('📁 Panel DAES'!$D$3:$D$135,'📊 Agregados DAES'!A12,'📁 Panel DAES'!$E$3:$E$135,"&lt;&gt;",'📁 Panel DAES'!$H$3:$H$135,"&lt;&gt;")</f>
        <v>19</v>
      </c>
      <c r="C12" s="5">
        <f>+SUMIF('📁 Panel DAES'!$D$3:$D$135,'📊 Agregados DAES'!A12,'📁 Panel DAES'!$E$3:$E$135)</f>
        <v>22171.988348999999</v>
      </c>
      <c r="D12" s="5">
        <f t="shared" si="2"/>
        <v>8372.1428005824</v>
      </c>
      <c r="E12" s="6">
        <f t="shared" si="0"/>
        <v>13799.845548417599</v>
      </c>
      <c r="F12" s="5">
        <f>+SUMIF('📁 Panel DAES'!$D$3:$D$135,'📊 Agregados DAES'!A12,'📁 Panel DAES'!$H$3:$H$135)</f>
        <v>6967.3718660000004</v>
      </c>
      <c r="G12" s="5">
        <f t="shared" si="4"/>
        <v>6832.4736824175989</v>
      </c>
      <c r="H12" s="5">
        <f>+SUMIF('📁 Panel DAES'!$D$3:$D$135,'📊 Agregados DAES'!A12,'📁 Panel DAES'!$J$3:$J$135)</f>
        <v>-2572.8427429999997</v>
      </c>
      <c r="I12" s="7">
        <f t="shared" si="1"/>
        <v>0.50488767005069379</v>
      </c>
      <c r="J12" s="8">
        <v>262954000</v>
      </c>
      <c r="K12" s="9">
        <f t="shared" si="3"/>
        <v>5.2480074645822458E-3</v>
      </c>
    </row>
    <row r="13" spans="1:11" ht="16.95" customHeight="1" x14ac:dyDescent="0.3">
      <c r="A13" s="10">
        <v>2023</v>
      </c>
      <c r="B13" s="10">
        <f>+COUNTIFS('📁 Panel DAES'!$D$3:$D$135,'📊 Agregados DAES'!A13,'📁 Panel DAES'!$E$3:$E$135,"&lt;&gt;",'📁 Panel DAES'!$H$3:$H$135,"&lt;&gt;")</f>
        <v>22</v>
      </c>
      <c r="C13" s="11">
        <f>+SUMIF('📁 Panel DAES'!$D$3:$D$135,'📊 Agregados DAES'!A13,'📁 Panel DAES'!$E$3:$E$135)</f>
        <v>47404.626767000002</v>
      </c>
      <c r="D13" s="11">
        <f t="shared" si="2"/>
        <v>17899.987067219201</v>
      </c>
      <c r="E13" s="12">
        <f t="shared" si="0"/>
        <v>29504.639699780801</v>
      </c>
      <c r="F13" s="11">
        <f>+SUMIF('📁 Panel DAES'!$D$3:$D$135,'📊 Agregados DAES'!A13,'📁 Panel DAES'!$H$3:$H$135)</f>
        <v>12582.384424</v>
      </c>
      <c r="G13" s="11">
        <f t="shared" si="4"/>
        <v>16922.255275780801</v>
      </c>
      <c r="H13" s="11">
        <f>+SUMIF('📁 Panel DAES'!$D$3:$D$135,'📊 Agregados DAES'!A13,'📁 Panel DAES'!$J$3:$J$135)</f>
        <v>2542.8579089999994</v>
      </c>
      <c r="I13" s="13">
        <f t="shared" si="1"/>
        <v>0.42645443401545685</v>
      </c>
      <c r="J13" s="14">
        <v>282097000</v>
      </c>
      <c r="K13" s="9">
        <f t="shared" si="3"/>
        <v>1.0459040578163114E-2</v>
      </c>
    </row>
    <row r="14" spans="1:11" ht="16.95" customHeight="1" x14ac:dyDescent="0.3">
      <c r="A14" s="4">
        <v>2024</v>
      </c>
      <c r="B14" s="4">
        <f>+COUNTIFS('📁 Panel DAES'!$D$3:$D$135,'📊 Agregados DAES'!A14,'📁 Panel DAES'!$E$3:$E$135,"&lt;&gt;",'📁 Panel DAES'!$H$3:$H$135,"&lt;&gt;")</f>
        <v>11</v>
      </c>
      <c r="C14" s="5">
        <f>+SUMIF('📁 Panel DAES'!$D$3:$D$135,'📊 Agregados DAES'!A14,'📁 Panel DAES'!$E$3:$E$135)</f>
        <v>18135.860311</v>
      </c>
      <c r="D14" s="5">
        <f t="shared" si="2"/>
        <v>6848.1008534335997</v>
      </c>
      <c r="E14" s="6">
        <f t="shared" si="0"/>
        <v>11287.759457566401</v>
      </c>
      <c r="F14" s="5">
        <f>+SUMIF('📁 Panel DAES'!$D$3:$D$135,'📊 Agregados DAES'!A14,'📁 Panel DAES'!$H$3:$H$135)</f>
        <v>8269.4475519999996</v>
      </c>
      <c r="G14" s="5">
        <f t="shared" si="4"/>
        <v>3018.311905566401</v>
      </c>
      <c r="H14" s="5">
        <f>+SUMIF('📁 Panel DAES'!$D$3:$D$135,'📊 Agregados DAES'!A14,'📁 Panel DAES'!$J$3:$J$135)</f>
        <v>2246.7216699999999</v>
      </c>
      <c r="I14" s="7">
        <f t="shared" si="1"/>
        <v>0.73260309834622062</v>
      </c>
      <c r="J14" s="8">
        <v>310681000</v>
      </c>
      <c r="K14" s="9">
        <f t="shared" si="3"/>
        <v>3.6332313394016368E-3</v>
      </c>
    </row>
    <row r="15" spans="1:11" ht="19.95" customHeight="1" x14ac:dyDescent="0.3">
      <c r="A15" s="77" t="s">
        <v>36</v>
      </c>
      <c r="B15" s="78"/>
      <c r="C15" s="16">
        <f>+SUM(C4:C14)</f>
        <v>131513.58530100001</v>
      </c>
      <c r="D15" s="16">
        <f t="shared" ref="D15:H15" si="5">+SUM(D4:D14)</f>
        <v>49659.529809657601</v>
      </c>
      <c r="E15" s="16">
        <f t="shared" si="5"/>
        <v>81854.055491342398</v>
      </c>
      <c r="F15" s="16">
        <f t="shared" si="5"/>
        <v>44972.901866999993</v>
      </c>
      <c r="G15" s="16">
        <f t="shared" si="5"/>
        <v>36881.153624342405</v>
      </c>
      <c r="H15" s="16">
        <f t="shared" si="5"/>
        <v>4877.2447229999998</v>
      </c>
      <c r="I15" s="17" t="s">
        <v>37</v>
      </c>
      <c r="J15" s="17" t="s">
        <v>37</v>
      </c>
      <c r="K15" s="17" t="s">
        <v>37</v>
      </c>
    </row>
    <row r="16" spans="1:11" ht="10.050000000000001" customHeight="1" x14ac:dyDescent="0.3"/>
    <row r="17" spans="1:11" ht="28.05" customHeight="1" x14ac:dyDescent="0.3">
      <c r="A17" s="80" t="s">
        <v>38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</row>
    <row r="18" spans="1:11" ht="16.05" customHeight="1" x14ac:dyDescent="0.3">
      <c r="A18" s="75" t="s">
        <v>39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spans="1:11" ht="31.95" customHeight="1" x14ac:dyDescent="0.3">
      <c r="A19" s="3" t="s">
        <v>25</v>
      </c>
      <c r="B19" s="3" t="s">
        <v>26</v>
      </c>
      <c r="C19" s="3" t="s">
        <v>40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45</v>
      </c>
    </row>
    <row r="20" spans="1:11" ht="16.95" customHeight="1" x14ac:dyDescent="0.3">
      <c r="A20" s="4">
        <v>2014</v>
      </c>
      <c r="B20" s="4">
        <f>+COUNTIFS('📁 Panel DAES'!$D$3:$D$135,'📊 Agregados DAES'!A20,'📁 Panel DAES'!$K$3:$K$135,"&lt;&gt;",'📁 Panel DAES'!$L$3:$L$135,"&lt;&gt;",'📁 Panel DAES'!$M$3:$M$135,"&lt;&gt;",'📁 Panel DAES'!$N$3:$N$135,"&lt;&gt;")</f>
        <v>2</v>
      </c>
      <c r="C20" s="5">
        <f>+SUMIF('📁 Panel DAES'!$D$3:$D$135,'📊 Agregados DAES'!A20,'📁 Panel DAES'!$K$3:$K$135)</f>
        <v>1226.5979339999999</v>
      </c>
      <c r="D20" s="5">
        <f>+SUMIF('📁 Panel DAES'!$D$3:$D$135,'📊 Agregados DAES'!A20,'📁 Panel DAES'!$L$3:$L$135)</f>
        <v>1132.520933</v>
      </c>
      <c r="E20" s="5">
        <f>+SUMIF('📁 Panel DAES'!$D$3:$D$135,'📊 Agregados DAES'!A20,'📁 Panel DAES'!$M$3:$M$135)</f>
        <v>72.623722000000001</v>
      </c>
      <c r="F20" s="6">
        <f>+SUMIF('📁 Panel DAES'!$D$3:$D$135,'📊 Agregados DAES'!A20,'📁 Panel DAES'!$N$3:$N$135)</f>
        <v>847.35116099999993</v>
      </c>
      <c r="G20" s="18">
        <f>+F20/C20</f>
        <v>0.69081411073043597</v>
      </c>
      <c r="H20" s="18">
        <f>+E20/C20</f>
        <v>5.9207438710719373E-2</v>
      </c>
    </row>
    <row r="21" spans="1:11" ht="16.95" customHeight="1" x14ac:dyDescent="0.3">
      <c r="A21" s="10">
        <v>2015</v>
      </c>
      <c r="B21" s="10">
        <f>+COUNTIFS('📁 Panel DAES'!$D$3:$D$135,'📊 Agregados DAES'!A21,'📁 Panel DAES'!$K$3:$K$135,"&lt;&gt;",'📁 Panel DAES'!$L$3:$L$135,"&lt;&gt;",'📁 Panel DAES'!$M$3:$M$135,"&lt;&gt;",'📁 Panel DAES'!$N$3:$N$135,"&lt;&gt;")</f>
        <v>7</v>
      </c>
      <c r="C21" s="11">
        <f>+SUMIF('📁 Panel DAES'!$D$3:$D$135,'📊 Agregados DAES'!A21,'📁 Panel DAES'!$K$3:$K$135)</f>
        <v>32039.859661999999</v>
      </c>
      <c r="D21" s="11">
        <f>+SUMIF('📁 Panel DAES'!$D$3:$D$135,'📊 Agregados DAES'!A21,'📁 Panel DAES'!$L$3:$L$135)</f>
        <v>26762.114390000006</v>
      </c>
      <c r="E21" s="11">
        <f>+SUMIF('📁 Panel DAES'!$D$3:$D$135,'📊 Agregados DAES'!A21,'📁 Panel DAES'!$M$3:$M$135)</f>
        <v>4996.6645109999999</v>
      </c>
      <c r="F21" s="12">
        <f>+SUMIF('📁 Panel DAES'!$D$3:$D$135,'📊 Agregados DAES'!A21,'📁 Panel DAES'!$N$3:$N$135)</f>
        <v>23988.189845999994</v>
      </c>
      <c r="G21" s="19">
        <f t="shared" ref="G21:G30" si="6">+F21/C21</f>
        <v>0.74869834322185036</v>
      </c>
      <c r="H21" s="19">
        <f t="shared" ref="H21:H30" si="7">+E21/C21</f>
        <v>0.15595151051570172</v>
      </c>
    </row>
    <row r="22" spans="1:11" ht="16.95" customHeight="1" x14ac:dyDescent="0.3">
      <c r="A22" s="4">
        <v>2016</v>
      </c>
      <c r="B22" s="4">
        <f>+COUNTIFS('📁 Panel DAES'!$D$3:$D$135,'📊 Agregados DAES'!A22,'📁 Panel DAES'!$K$3:$K$135,"&lt;&gt;",'📁 Panel DAES'!$L$3:$L$135,"&lt;&gt;",'📁 Panel DAES'!$M$3:$M$135,"&lt;&gt;",'📁 Panel DAES'!$N$3:$N$135,"&lt;&gt;")</f>
        <v>7</v>
      </c>
      <c r="C22" s="5">
        <f>+SUMIF('📁 Panel DAES'!$D$3:$D$135,'📊 Agregados DAES'!A22,'📁 Panel DAES'!$K$3:$K$135)</f>
        <v>10349.981175000001</v>
      </c>
      <c r="D22" s="5">
        <f>+SUMIF('📁 Panel DAES'!$D$3:$D$135,'📊 Agregados DAES'!A22,'📁 Panel DAES'!$L$3:$L$135)</f>
        <v>4680.6020129999997</v>
      </c>
      <c r="E22" s="5">
        <f>+SUMIF('📁 Panel DAES'!$D$3:$D$135,'📊 Agregados DAES'!A22,'📁 Panel DAES'!$M$3:$M$135)</f>
        <v>5060.6694419999994</v>
      </c>
      <c r="F22" s="6">
        <f>+SUMIF('📁 Panel DAES'!$D$3:$D$135,'📊 Agregados DAES'!A22,'📁 Panel DAES'!$N$3:$N$135)</f>
        <v>7276.683121</v>
      </c>
      <c r="G22" s="18">
        <f t="shared" si="6"/>
        <v>0.70306244986962496</v>
      </c>
      <c r="H22" s="18">
        <f t="shared" si="7"/>
        <v>0.48895445860557318</v>
      </c>
    </row>
    <row r="23" spans="1:11" ht="16.95" customHeight="1" x14ac:dyDescent="0.3">
      <c r="A23" s="10">
        <v>2017</v>
      </c>
      <c r="B23" s="10">
        <f>+COUNTIFS('📁 Panel DAES'!$D$3:$D$135,'📊 Agregados DAES'!A23,'📁 Panel DAES'!$K$3:$K$135,"&lt;&gt;",'📁 Panel DAES'!$L$3:$L$135,"&lt;&gt;",'📁 Panel DAES'!$M$3:$M$135,"&lt;&gt;",'📁 Panel DAES'!$N$3:$N$135,"&lt;&gt;")</f>
        <v>7</v>
      </c>
      <c r="C23" s="11">
        <f>+SUMIF('📁 Panel DAES'!$D$3:$D$135,'📊 Agregados DAES'!A23,'📁 Panel DAES'!$K$3:$K$135)</f>
        <v>32452.607731999997</v>
      </c>
      <c r="D23" s="11">
        <f>+SUMIF('📁 Panel DAES'!$D$3:$D$135,'📊 Agregados DAES'!A23,'📁 Panel DAES'!$L$3:$L$135)</f>
        <v>17330.129091999999</v>
      </c>
      <c r="E23" s="11">
        <f>+SUMIF('📁 Panel DAES'!$D$3:$D$135,'📊 Agregados DAES'!A23,'📁 Panel DAES'!$M$3:$M$135)</f>
        <v>8733.3372440000003</v>
      </c>
      <c r="F23" s="12">
        <f>+SUMIF('📁 Panel DAES'!$D$3:$D$135,'📊 Agregados DAES'!A23,'📁 Panel DAES'!$N$3:$N$135)</f>
        <v>15278.377665999998</v>
      </c>
      <c r="G23" s="19">
        <f t="shared" si="6"/>
        <v>0.47079044593802261</v>
      </c>
      <c r="H23" s="19">
        <f t="shared" si="7"/>
        <v>0.26911049232535067</v>
      </c>
    </row>
    <row r="24" spans="1:11" ht="16.95" customHeight="1" x14ac:dyDescent="0.3">
      <c r="A24" s="4">
        <v>2018</v>
      </c>
      <c r="B24" s="4">
        <f>+COUNTIFS('📁 Panel DAES'!$D$3:$D$135,'📊 Agregados DAES'!A24,'📁 Panel DAES'!$K$3:$K$135,"&lt;&gt;",'📁 Panel DAES'!$L$3:$L$135,"&lt;&gt;",'📁 Panel DAES'!$M$3:$M$135,"&lt;&gt;",'📁 Panel DAES'!$N$3:$N$135,"&lt;&gt;")</f>
        <v>10</v>
      </c>
      <c r="C24" s="5">
        <f>+SUMIF('📁 Panel DAES'!$D$3:$D$135,'📊 Agregados DAES'!A24,'📁 Panel DAES'!$K$3:$K$135)</f>
        <v>51825.684677999991</v>
      </c>
      <c r="D24" s="5">
        <f>+SUMIF('📁 Panel DAES'!$D$3:$D$135,'📊 Agregados DAES'!A24,'📁 Panel DAES'!$L$3:$L$135)</f>
        <v>19382.342653</v>
      </c>
      <c r="E24" s="5">
        <f>+SUMIF('📁 Panel DAES'!$D$3:$D$135,'📊 Agregados DAES'!A24,'📁 Panel DAES'!$M$3:$M$135)</f>
        <v>12619.893801</v>
      </c>
      <c r="F24" s="6">
        <f>+SUMIF('📁 Panel DAES'!$D$3:$D$135,'📊 Agregados DAES'!A24,'📁 Panel DAES'!$N$3:$N$135)</f>
        <v>29732.939782000005</v>
      </c>
      <c r="G24" s="18">
        <f t="shared" si="6"/>
        <v>0.57371050603064466</v>
      </c>
      <c r="H24" s="18">
        <f t="shared" si="7"/>
        <v>0.24350655238631408</v>
      </c>
    </row>
    <row r="25" spans="1:11" ht="16.95" customHeight="1" x14ac:dyDescent="0.3">
      <c r="A25" s="10">
        <v>2019</v>
      </c>
      <c r="B25" s="10">
        <f>+COUNTIFS('📁 Panel DAES'!$D$3:$D$135,'📊 Agregados DAES'!A25,'📁 Panel DAES'!$K$3:$K$135,"&lt;&gt;",'📁 Panel DAES'!$L$3:$L$135,"&lt;&gt;",'📁 Panel DAES'!$M$3:$M$135,"&lt;&gt;",'📁 Panel DAES'!$N$3:$N$135,"&lt;&gt;")</f>
        <v>6</v>
      </c>
      <c r="C25" s="11">
        <f>+SUMIF('📁 Panel DAES'!$D$3:$D$135,'📊 Agregados DAES'!A25,'📁 Panel DAES'!$K$3:$K$135)</f>
        <v>33039.670144000003</v>
      </c>
      <c r="D25" s="11">
        <f>+SUMIF('📁 Panel DAES'!$D$3:$D$135,'📊 Agregados DAES'!A25,'📁 Panel DAES'!$L$3:$L$135)</f>
        <v>14893.597387000002</v>
      </c>
      <c r="E25" s="11">
        <f>+SUMIF('📁 Panel DAES'!$D$3:$D$135,'📊 Agregados DAES'!A25,'📁 Panel DAES'!$M$3:$M$135)</f>
        <v>15387.075560000001</v>
      </c>
      <c r="F25" s="12">
        <f>+SUMIF('📁 Panel DAES'!$D$3:$D$135,'📊 Agregados DAES'!A25,'📁 Panel DAES'!$N$3:$N$135)</f>
        <v>23618.051597999998</v>
      </c>
      <c r="G25" s="19">
        <f t="shared" si="6"/>
        <v>0.71483920677970303</v>
      </c>
      <c r="H25" s="19">
        <f t="shared" si="7"/>
        <v>0.46571516885419906</v>
      </c>
    </row>
    <row r="26" spans="1:11" ht="16.95" customHeight="1" x14ac:dyDescent="0.3">
      <c r="A26" s="4">
        <v>2020</v>
      </c>
      <c r="B26" s="4">
        <f>+COUNTIFS('📁 Panel DAES'!$D$3:$D$135,'📊 Agregados DAES'!A26,'📁 Panel DAES'!$K$3:$K$135,"&lt;&gt;",'📁 Panel DAES'!$L$3:$L$135,"&lt;&gt;",'📁 Panel DAES'!$M$3:$M$135,"&lt;&gt;",'📁 Panel DAES'!$N$3:$N$135,"&lt;&gt;")</f>
        <v>9</v>
      </c>
      <c r="C26" s="5">
        <f>+SUMIF('📁 Panel DAES'!$D$3:$D$135,'📊 Agregados DAES'!A26,'📁 Panel DAES'!$K$3:$K$135)</f>
        <v>47098.723284</v>
      </c>
      <c r="D26" s="5">
        <f>+SUMIF('📁 Panel DAES'!$D$3:$D$135,'📊 Agregados DAES'!A26,'📁 Panel DAES'!$L$3:$L$135)</f>
        <v>23639.688299000001</v>
      </c>
      <c r="E26" s="5">
        <f>+SUMIF('📁 Panel DAES'!$D$3:$D$135,'📊 Agregados DAES'!A26,'📁 Panel DAES'!$M$3:$M$135)</f>
        <v>21306.056218000002</v>
      </c>
      <c r="F26" s="6">
        <f>+SUMIF('📁 Panel DAES'!$D$3:$D$135,'📊 Agregados DAES'!A26,'📁 Panel DAES'!$N$3:$N$135)</f>
        <v>27462.092506000001</v>
      </c>
      <c r="G26" s="18">
        <f t="shared" si="6"/>
        <v>0.58307509399791313</v>
      </c>
      <c r="H26" s="18">
        <f t="shared" si="7"/>
        <v>0.45237014365605793</v>
      </c>
    </row>
    <row r="27" spans="1:11" ht="16.95" customHeight="1" x14ac:dyDescent="0.3">
      <c r="A27" s="10">
        <v>2021</v>
      </c>
      <c r="B27" s="10">
        <f>+COUNTIFS('📁 Panel DAES'!$D$3:$D$135,'📊 Agregados DAES'!A27,'📁 Panel DAES'!$K$3:$K$135,"&lt;&gt;",'📁 Panel DAES'!$L$3:$L$135,"&lt;&gt;",'📁 Panel DAES'!$M$3:$M$135,"&lt;&gt;",'📁 Panel DAES'!$N$3:$N$135,"&lt;&gt;")</f>
        <v>8</v>
      </c>
      <c r="C27" s="11">
        <f>+SUMIF('📁 Panel DAES'!$D$3:$D$135,'📊 Agregados DAES'!A27,'📁 Panel DAES'!$K$3:$K$135)</f>
        <v>46796.015352000002</v>
      </c>
      <c r="D27" s="11">
        <f>+SUMIF('📁 Panel DAES'!$D$3:$D$135,'📊 Agregados DAES'!A27,'📁 Panel DAES'!$L$3:$L$135)</f>
        <v>25103.643275000002</v>
      </c>
      <c r="E27" s="11">
        <f>+SUMIF('📁 Panel DAES'!$D$3:$D$135,'📊 Agregados DAES'!A27,'📁 Panel DAES'!$M$3:$M$135)</f>
        <v>19693.459336</v>
      </c>
      <c r="F27" s="12">
        <f>+SUMIF('📁 Panel DAES'!$D$3:$D$135,'📊 Agregados DAES'!A27,'📁 Panel DAES'!$N$3:$N$135)</f>
        <v>27701.891567999999</v>
      </c>
      <c r="G27" s="19">
        <f t="shared" si="6"/>
        <v>0.59197116163900176</v>
      </c>
      <c r="H27" s="19">
        <f t="shared" si="7"/>
        <v>0.42083624402346315</v>
      </c>
    </row>
    <row r="28" spans="1:11" ht="16.95" customHeight="1" x14ac:dyDescent="0.3">
      <c r="A28" s="4">
        <v>2022</v>
      </c>
      <c r="B28" s="4">
        <f>+COUNTIFS('📁 Panel DAES'!$D$3:$D$135,'📊 Agregados DAES'!A28,'📁 Panel DAES'!$K$3:$K$135,"&lt;&gt;",'📁 Panel DAES'!$L$3:$L$135,"&lt;&gt;",'📁 Panel DAES'!$M$3:$M$135,"&lt;&gt;",'📁 Panel DAES'!$N$3:$N$135,"&lt;&gt;")</f>
        <v>15</v>
      </c>
      <c r="C28" s="5">
        <f>+SUMIF('📁 Panel DAES'!$D$3:$D$135,'📊 Agregados DAES'!A28,'📁 Panel DAES'!$K$3:$K$135)</f>
        <v>84588.659779000009</v>
      </c>
      <c r="D28" s="5">
        <f>+SUMIF('📁 Panel DAES'!$D$3:$D$135,'📊 Agregados DAES'!A28,'📁 Panel DAES'!$L$3:$L$135)</f>
        <v>46311.420658000003</v>
      </c>
      <c r="E28" s="5">
        <f>+SUMIF('📁 Panel DAES'!$D$3:$D$135,'📊 Agregados DAES'!A28,'📁 Panel DAES'!$M$3:$M$135)</f>
        <v>34145.429916000001</v>
      </c>
      <c r="F28" s="6">
        <f>+SUMIF('📁 Panel DAES'!$D$3:$D$135,'📊 Agregados DAES'!A28,'📁 Panel DAES'!$N$3:$N$135)</f>
        <v>56563.258921000001</v>
      </c>
      <c r="G28" s="18">
        <f t="shared" si="6"/>
        <v>0.66868607528219048</v>
      </c>
      <c r="H28" s="18">
        <f t="shared" si="7"/>
        <v>0.40366439195525533</v>
      </c>
    </row>
    <row r="29" spans="1:11" ht="16.95" customHeight="1" x14ac:dyDescent="0.3">
      <c r="A29" s="10">
        <v>2023</v>
      </c>
      <c r="B29" s="10">
        <f>+COUNTIFS('📁 Panel DAES'!$D$3:$D$135,'📊 Agregados DAES'!A29,'📁 Panel DAES'!$K$3:$K$135,"&lt;&gt;",'📁 Panel DAES'!$L$3:$L$135,"&lt;&gt;",'📁 Panel DAES'!$M$3:$M$135,"&lt;&gt;",'📁 Panel DAES'!$N$3:$N$135,"&lt;&gt;")</f>
        <v>18</v>
      </c>
      <c r="C29" s="11">
        <f>+SUMIF('📁 Panel DAES'!$D$3:$D$135,'📊 Agregados DAES'!A29,'📁 Panel DAES'!$K$3:$K$135)</f>
        <v>165905.33069500001</v>
      </c>
      <c r="D29" s="11">
        <f>+SUMIF('📁 Panel DAES'!$D$3:$D$135,'📊 Agregados DAES'!A29,'📁 Panel DAES'!$L$3:$L$135)</f>
        <v>71655.962295999998</v>
      </c>
      <c r="E29" s="11">
        <f>+SUMIF('📁 Panel DAES'!$D$3:$D$135,'📊 Agregados DAES'!A29,'📁 Panel DAES'!$M$3:$M$135)</f>
        <v>87353.147538999998</v>
      </c>
      <c r="F29" s="12">
        <f>+SUMIF('📁 Panel DAES'!$D$3:$D$135,'📊 Agregados DAES'!A29,'📁 Panel DAES'!$N$3:$N$135)</f>
        <v>114808.27693900003</v>
      </c>
      <c r="G29" s="19">
        <f t="shared" si="6"/>
        <v>0.6920107778216199</v>
      </c>
      <c r="H29" s="19">
        <f t="shared" si="7"/>
        <v>0.52652405545419045</v>
      </c>
    </row>
    <row r="30" spans="1:11" ht="16.95" customHeight="1" x14ac:dyDescent="0.3">
      <c r="A30" s="4">
        <v>2024</v>
      </c>
      <c r="B30" s="4">
        <f>+COUNTIFS('📁 Panel DAES'!$D$3:$D$135,'📊 Agregados DAES'!A30,'📁 Panel DAES'!$K$3:$K$135,"&lt;&gt;",'📁 Panel DAES'!$L$3:$L$135,"&lt;&gt;",'📁 Panel DAES'!$M$3:$M$135,"&lt;&gt;",'📁 Panel DAES'!$N$3:$N$135,"&lt;&gt;")</f>
        <v>11</v>
      </c>
      <c r="C30" s="5">
        <f>+SUMIF('📁 Panel DAES'!$D$3:$D$135,'📊 Agregados DAES'!A30,'📁 Panel DAES'!$K$3:$K$135)</f>
        <v>107922.69736500001</v>
      </c>
      <c r="D30" s="5">
        <f>+SUMIF('📁 Panel DAES'!$D$3:$D$135,'📊 Agregados DAES'!A30,'📁 Panel DAES'!$L$3:$L$135)</f>
        <v>44311.960910999995</v>
      </c>
      <c r="E30" s="5">
        <f>+SUMIF('📁 Panel DAES'!$D$3:$D$135,'📊 Agregados DAES'!A30,'📁 Panel DAES'!$M$3:$M$135)</f>
        <v>59798.903152999999</v>
      </c>
      <c r="F30" s="6">
        <f>+SUMIF('📁 Panel DAES'!$D$3:$D$135,'📊 Agregados DAES'!A30,'📁 Panel DAES'!$N$3:$N$135)</f>
        <v>81305.027680999992</v>
      </c>
      <c r="G30" s="18">
        <f t="shared" si="6"/>
        <v>0.75336356175404218</v>
      </c>
      <c r="H30" s="18">
        <f t="shared" si="7"/>
        <v>0.55409014612335983</v>
      </c>
    </row>
    <row r="31" spans="1:11" ht="19.95" customHeight="1" x14ac:dyDescent="0.3">
      <c r="A31" s="77" t="s">
        <v>36</v>
      </c>
      <c r="B31" s="78"/>
      <c r="C31" s="16">
        <f>+SUM(C20:C30)</f>
        <v>613245.82780000009</v>
      </c>
      <c r="D31" s="16">
        <f t="shared" ref="D31:F31" si="8">+SUM(D20:D30)</f>
        <v>295203.98190699995</v>
      </c>
      <c r="E31" s="16">
        <f t="shared" si="8"/>
        <v>269167.260442</v>
      </c>
      <c r="F31" s="16">
        <f t="shared" si="8"/>
        <v>408582.14078900003</v>
      </c>
      <c r="G31" s="15" t="s">
        <v>37</v>
      </c>
      <c r="H31" s="15" t="s">
        <v>37</v>
      </c>
    </row>
  </sheetData>
  <mergeCells count="6">
    <mergeCell ref="A18:K18"/>
    <mergeCell ref="A15:B15"/>
    <mergeCell ref="A2:K2"/>
    <mergeCell ref="A31:B31"/>
    <mergeCell ref="A1:K1"/>
    <mergeCell ref="A17:K17"/>
  </mergeCells>
  <pageMargins left="0.75" right="0.75" top="1" bottom="1" header="0.5" footer="0.5"/>
  <ignoredErrors>
    <ignoredError sqref="F4:F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4731"/>
  </sheetPr>
  <dimension ref="A1:K37"/>
  <sheetViews>
    <sheetView zoomScale="90" workbookViewId="0">
      <pane ySplit="3" topLeftCell="A4" activePane="bottomLeft" state="frozen"/>
      <selection pane="bottomLeft" activeCell="A21" sqref="A21:K37"/>
    </sheetView>
  </sheetViews>
  <sheetFormatPr baseColWidth="10" defaultColWidth="8.88671875" defaultRowHeight="14.4" x14ac:dyDescent="0.3"/>
  <cols>
    <col min="1" max="1" width="8" customWidth="1"/>
    <col min="2" max="2" width="6" customWidth="1"/>
    <col min="3" max="8" width="14" customWidth="1"/>
    <col min="9" max="9" width="10" customWidth="1"/>
    <col min="10" max="10" width="18" customWidth="1"/>
    <col min="11" max="11" width="14" customWidth="1"/>
  </cols>
  <sheetData>
    <row r="1" spans="1:11" ht="28.05" customHeight="1" x14ac:dyDescent="0.3">
      <c r="A1" s="91" t="s">
        <v>2019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6.05" customHeight="1" x14ac:dyDescent="0.3">
      <c r="A2" s="90" t="s">
        <v>46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31.95" customHeight="1" x14ac:dyDescent="0.3">
      <c r="A3" s="20" t="s">
        <v>25</v>
      </c>
      <c r="B3" s="20" t="s">
        <v>26</v>
      </c>
      <c r="C3" s="20" t="s">
        <v>27</v>
      </c>
      <c r="D3" s="20" t="s">
        <v>28</v>
      </c>
      <c r="E3" s="20" t="s">
        <v>29</v>
      </c>
      <c r="F3" s="20" t="s">
        <v>30</v>
      </c>
      <c r="G3" s="20" t="s">
        <v>31</v>
      </c>
      <c r="H3" s="20" t="s">
        <v>32</v>
      </c>
      <c r="I3" s="20" t="s">
        <v>33</v>
      </c>
      <c r="J3" s="20" t="s">
        <v>34</v>
      </c>
      <c r="K3" s="20" t="s">
        <v>35</v>
      </c>
    </row>
    <row r="4" spans="1:11" ht="16.95" customHeight="1" x14ac:dyDescent="0.3">
      <c r="A4" s="36">
        <v>2013</v>
      </c>
      <c r="B4" s="36">
        <f>+COUNTIF('📁 Panel CMF'!$D$3:$D$93,'🏦 Agregados CMF'!A4)</f>
        <v>7</v>
      </c>
      <c r="C4" s="37">
        <f>+SUMIF('📁 Panel CMF'!$D$3:$D$93,'🏦 Agregados CMF'!A4,'📁 Panel CMF'!$E$3:$E$93)</f>
        <v>260475.00000000003</v>
      </c>
      <c r="D4" s="37">
        <f>0.3776*C4</f>
        <v>98355.360000000015</v>
      </c>
      <c r="E4" s="38">
        <f>+C4-D4</f>
        <v>162119.64000000001</v>
      </c>
      <c r="F4" s="37">
        <f>+SUMIF('📁 Panel CMF'!$D$3:$D$93,'🏦 Agregados CMF'!A4,'📁 Panel CMF'!$H$3:$H$93)</f>
        <v>61877.3</v>
      </c>
      <c r="G4" s="37">
        <f>+E4-F4</f>
        <v>100242.34000000001</v>
      </c>
      <c r="H4" s="37">
        <f>+SUMIF('📁 Panel CMF'!$D$3:$D$93,'🏦 Agregados CMF'!A4,'📁 Panel CMF'!$J$3:$J$93)</f>
        <v>22868.399999999998</v>
      </c>
      <c r="I4" s="39">
        <f>+F4/E4</f>
        <v>0.3816767666150751</v>
      </c>
      <c r="J4" s="40">
        <v>136003000</v>
      </c>
      <c r="K4" s="41">
        <f>+(E4/J4)*100</f>
        <v>0.11920298816937862</v>
      </c>
    </row>
    <row r="5" spans="1:11" ht="16.95" customHeight="1" x14ac:dyDescent="0.3">
      <c r="A5" s="42">
        <v>2014</v>
      </c>
      <c r="B5" s="42">
        <f>+COUNTIF('📁 Panel CMF'!$D$3:$D$93,'🏦 Agregados CMF'!A5)</f>
        <v>7</v>
      </c>
      <c r="C5" s="43">
        <f>+SUMIF('📁 Panel CMF'!$D$3:$D$93,'🏦 Agregados CMF'!A5,'📁 Panel CMF'!$E$3:$E$93)</f>
        <v>248405.1</v>
      </c>
      <c r="D5" s="43">
        <f t="shared" ref="D5:D16" si="0">0.3776*C5</f>
        <v>93797.765759999995</v>
      </c>
      <c r="E5" s="44">
        <f t="shared" ref="E5:E16" si="1">+C5-D5</f>
        <v>154607.33424</v>
      </c>
      <c r="F5" s="43">
        <f>+SUMIF('📁 Panel CMF'!$D$3:$D$93,'🏦 Agregados CMF'!A5,'📁 Panel CMF'!$H$3:$H$93)</f>
        <v>58544.800000000003</v>
      </c>
      <c r="G5" s="43">
        <f>+E5-F5</f>
        <v>96062.534239999994</v>
      </c>
      <c r="H5" s="43">
        <f>+SUMIF('📁 Panel CMF'!$D$3:$D$93,'🏦 Agregados CMF'!A5,'📁 Panel CMF'!$J$3:$J$93)</f>
        <v>23293.4</v>
      </c>
      <c r="I5" s="45">
        <f t="shared" ref="I5:I16" si="2">+F5/E5</f>
        <v>0.3786676763284707</v>
      </c>
      <c r="J5" s="46">
        <v>144706000</v>
      </c>
      <c r="K5" s="47">
        <f t="shared" ref="K5:K15" si="3">+(E5/J5)*100</f>
        <v>0.10684237988749604</v>
      </c>
    </row>
    <row r="6" spans="1:11" ht="16.95" customHeight="1" x14ac:dyDescent="0.3">
      <c r="A6" s="36">
        <v>2015</v>
      </c>
      <c r="B6" s="36">
        <f>+COUNTIF('📁 Panel CMF'!$D$3:$D$93,'🏦 Agregados CMF'!A6)</f>
        <v>7</v>
      </c>
      <c r="C6" s="37">
        <f>+SUMIF('📁 Panel CMF'!$D$3:$D$93,'🏦 Agregados CMF'!A6,'📁 Panel CMF'!$E$3:$E$93)</f>
        <v>253822</v>
      </c>
      <c r="D6" s="37">
        <f t="shared" si="0"/>
        <v>95843.1872</v>
      </c>
      <c r="E6" s="38">
        <f t="shared" si="1"/>
        <v>157978.81280000001</v>
      </c>
      <c r="F6" s="37">
        <f>+SUMIF('📁 Panel CMF'!$D$3:$D$93,'🏦 Agregados CMF'!A6,'📁 Panel CMF'!$H$3:$H$93)</f>
        <v>63039.1</v>
      </c>
      <c r="G6" s="37">
        <f t="shared" ref="G6:G16" si="4">+E6-F6</f>
        <v>94939.712800000008</v>
      </c>
      <c r="H6" s="37">
        <f>+SUMIF('📁 Panel CMF'!$D$3:$D$93,'🏦 Agregados CMF'!A6,'📁 Panel CMF'!$J$3:$J$93)</f>
        <v>35676.699999999997</v>
      </c>
      <c r="I6" s="39">
        <f t="shared" si="2"/>
        <v>0.39903515466853789</v>
      </c>
      <c r="J6" s="40">
        <v>158623000</v>
      </c>
      <c r="K6" s="41">
        <f t="shared" si="3"/>
        <v>9.9593887897719766E-2</v>
      </c>
    </row>
    <row r="7" spans="1:11" ht="16.95" customHeight="1" x14ac:dyDescent="0.3">
      <c r="A7" s="42">
        <v>2016</v>
      </c>
      <c r="B7" s="42">
        <f>+COUNTIF('📁 Panel CMF'!$D$3:$D$93,'🏦 Agregados CMF'!A7)</f>
        <v>7</v>
      </c>
      <c r="C7" s="43">
        <f>+SUMIF('📁 Panel CMF'!$D$3:$D$93,'🏦 Agregados CMF'!A7,'📁 Panel CMF'!$E$3:$E$93)</f>
        <v>268230.90000000002</v>
      </c>
      <c r="D7" s="43">
        <f t="shared" si="0"/>
        <v>101283.98784</v>
      </c>
      <c r="E7" s="44">
        <f t="shared" si="1"/>
        <v>166946.91216000001</v>
      </c>
      <c r="F7" s="43">
        <f>+SUMIF('📁 Panel CMF'!$D$3:$D$93,'🏦 Agregados CMF'!A7,'📁 Panel CMF'!$H$3:$H$93)</f>
        <v>70127.7</v>
      </c>
      <c r="G7" s="43">
        <f t="shared" si="4"/>
        <v>96819.21216000001</v>
      </c>
      <c r="H7" s="43">
        <f>+SUMIF('📁 Panel CMF'!$D$3:$D$93,'🏦 Agregados CMF'!A7,'📁 Panel CMF'!$J$3:$J$93)</f>
        <v>47670.3</v>
      </c>
      <c r="I7" s="45">
        <f t="shared" si="2"/>
        <v>0.42005988066907407</v>
      </c>
      <c r="J7" s="46">
        <v>168765000</v>
      </c>
      <c r="K7" s="47">
        <f t="shared" si="3"/>
        <v>9.8922710372411335E-2</v>
      </c>
    </row>
    <row r="8" spans="1:11" ht="16.95" customHeight="1" x14ac:dyDescent="0.3">
      <c r="A8" s="36">
        <v>2017</v>
      </c>
      <c r="B8" s="36">
        <f>+COUNTIF('📁 Panel CMF'!$D$3:$D$93,'🏦 Agregados CMF'!A8)</f>
        <v>7</v>
      </c>
      <c r="C8" s="37">
        <f>+SUMIF('📁 Panel CMF'!$D$3:$D$93,'🏦 Agregados CMF'!A8,'📁 Panel CMF'!$E$3:$E$93)</f>
        <v>242779</v>
      </c>
      <c r="D8" s="37">
        <f t="shared" si="0"/>
        <v>91673.350399999996</v>
      </c>
      <c r="E8" s="38">
        <f t="shared" si="1"/>
        <v>151105.6496</v>
      </c>
      <c r="F8" s="37">
        <f>+SUMIF('📁 Panel CMF'!$D$3:$D$93,'🏦 Agregados CMF'!A8,'📁 Panel CMF'!$H$3:$H$93)</f>
        <v>73823</v>
      </c>
      <c r="G8" s="37">
        <f t="shared" si="4"/>
        <v>77282.649600000004</v>
      </c>
      <c r="H8" s="37">
        <f>+SUMIF('📁 Panel CMF'!$D$3:$D$93,'🏦 Agregados CMF'!A8,'📁 Panel CMF'!$J$3:$J$93)</f>
        <v>67971</v>
      </c>
      <c r="I8" s="39">
        <f t="shared" si="2"/>
        <v>0.48855221625015932</v>
      </c>
      <c r="J8" s="40">
        <v>179315000</v>
      </c>
      <c r="K8" s="41">
        <f t="shared" si="3"/>
        <v>8.4268270696818443E-2</v>
      </c>
    </row>
    <row r="9" spans="1:11" ht="16.95" customHeight="1" x14ac:dyDescent="0.3">
      <c r="A9" s="42">
        <v>2018</v>
      </c>
      <c r="B9" s="42">
        <f>+COUNTIF('📁 Panel CMF'!$D$3:$D$93,'🏦 Agregados CMF'!A9)</f>
        <v>7</v>
      </c>
      <c r="C9" s="43">
        <f>+SUMIF('📁 Panel CMF'!$D$3:$D$93,'🏦 Agregados CMF'!A9,'📁 Panel CMF'!$E$3:$E$93)</f>
        <v>257678</v>
      </c>
      <c r="D9" s="43">
        <f t="shared" si="0"/>
        <v>97299.212799999994</v>
      </c>
      <c r="E9" s="44">
        <f t="shared" si="1"/>
        <v>160378.78720000002</v>
      </c>
      <c r="F9" s="43">
        <f>+SUMIF('📁 Panel CMF'!$D$3:$D$93,'🏦 Agregados CMF'!A9,'📁 Panel CMF'!$H$3:$H$93)</f>
        <v>77911</v>
      </c>
      <c r="G9" s="43">
        <f t="shared" si="4"/>
        <v>82467.787200000021</v>
      </c>
      <c r="H9" s="43">
        <f>+SUMIF('📁 Panel CMF'!$D$3:$D$93,'🏦 Agregados CMF'!A9,'📁 Panel CMF'!$J$3:$J$93)</f>
        <v>75638</v>
      </c>
      <c r="I9" s="45">
        <f t="shared" si="2"/>
        <v>0.48579367234421877</v>
      </c>
      <c r="J9" s="46">
        <v>189435000</v>
      </c>
      <c r="K9" s="47">
        <f t="shared" si="3"/>
        <v>8.4661644996964672E-2</v>
      </c>
    </row>
    <row r="10" spans="1:11" ht="16.95" customHeight="1" x14ac:dyDescent="0.3">
      <c r="A10" s="36">
        <v>2019</v>
      </c>
      <c r="B10" s="36">
        <f>+COUNTIF('📁 Panel CMF'!$D$3:$D$93,'🏦 Agregados CMF'!A10)</f>
        <v>7</v>
      </c>
      <c r="C10" s="37">
        <f>+SUMIF('📁 Panel CMF'!$D$3:$D$93,'🏦 Agregados CMF'!A10,'📁 Panel CMF'!$E$3:$E$93)</f>
        <v>277718</v>
      </c>
      <c r="D10" s="37">
        <f t="shared" si="0"/>
        <v>104866.3168</v>
      </c>
      <c r="E10" s="38">
        <f t="shared" si="1"/>
        <v>172851.6832</v>
      </c>
      <c r="F10" s="37">
        <f>+SUMIF('📁 Panel CMF'!$D$3:$D$93,'🏦 Agregados CMF'!A10,'📁 Panel CMF'!$H$3:$H$93)</f>
        <v>83157</v>
      </c>
      <c r="G10" s="37">
        <f t="shared" si="4"/>
        <v>89694.683199999999</v>
      </c>
      <c r="H10" s="37">
        <f>+SUMIF('📁 Panel CMF'!$D$3:$D$93,'🏦 Agregados CMF'!A10,'📁 Panel CMF'!$J$3:$J$93)</f>
        <v>78686</v>
      </c>
      <c r="I10" s="39">
        <f t="shared" si="2"/>
        <v>0.48108874880774083</v>
      </c>
      <c r="J10" s="40">
        <v>195548000</v>
      </c>
      <c r="K10" s="41">
        <f t="shared" si="3"/>
        <v>8.8393480475382008E-2</v>
      </c>
    </row>
    <row r="11" spans="1:11" ht="16.95" customHeight="1" x14ac:dyDescent="0.3">
      <c r="A11" s="42">
        <v>2020</v>
      </c>
      <c r="B11" s="42">
        <f>+COUNTIF('📁 Panel CMF'!$D$3:$D$93,'🏦 Agregados CMF'!A11)</f>
        <v>7</v>
      </c>
      <c r="C11" s="43">
        <f>+SUMIF('📁 Panel CMF'!$D$3:$D$93,'🏦 Agregados CMF'!A11,'📁 Panel CMF'!$E$3:$E$93)</f>
        <v>269886</v>
      </c>
      <c r="D11" s="43">
        <f t="shared" si="0"/>
        <v>101908.95359999999</v>
      </c>
      <c r="E11" s="44">
        <f t="shared" si="1"/>
        <v>167977.04639999999</v>
      </c>
      <c r="F11" s="43">
        <f>+SUMIF('📁 Panel CMF'!$D$3:$D$93,'🏦 Agregados CMF'!A11,'📁 Panel CMF'!$H$3:$H$93)</f>
        <v>87279</v>
      </c>
      <c r="G11" s="43">
        <f t="shared" si="4"/>
        <v>80698.046399999992</v>
      </c>
      <c r="H11" s="43">
        <f>+SUMIF('📁 Panel CMF'!$D$3:$D$93,'🏦 Agregados CMF'!A11,'📁 Panel CMF'!$J$3:$J$93)</f>
        <v>67319</v>
      </c>
      <c r="I11" s="45">
        <f t="shared" si="2"/>
        <v>0.5195888478248657</v>
      </c>
      <c r="J11" s="46">
        <v>201307000</v>
      </c>
      <c r="K11" s="47">
        <f t="shared" si="3"/>
        <v>8.3443221745890597E-2</v>
      </c>
    </row>
    <row r="12" spans="1:11" ht="16.95" customHeight="1" x14ac:dyDescent="0.3">
      <c r="A12" s="36">
        <v>2021</v>
      </c>
      <c r="B12" s="36">
        <f>+COUNTIF('📁 Panel CMF'!$D$3:$D$93,'🏦 Agregados CMF'!A12)</f>
        <v>7</v>
      </c>
      <c r="C12" s="37">
        <f>+SUMIF('📁 Panel CMF'!$D$3:$D$93,'🏦 Agregados CMF'!A12,'📁 Panel CMF'!$E$3:$E$93)</f>
        <v>275612</v>
      </c>
      <c r="D12" s="37">
        <f t="shared" si="0"/>
        <v>104071.0912</v>
      </c>
      <c r="E12" s="38">
        <f t="shared" si="1"/>
        <v>171540.9088</v>
      </c>
      <c r="F12" s="37">
        <f>+SUMIF('📁 Panel CMF'!$D$3:$D$93,'🏦 Agregados CMF'!A12,'📁 Panel CMF'!$H$3:$H$93)</f>
        <v>88696</v>
      </c>
      <c r="G12" s="37">
        <f t="shared" si="4"/>
        <v>82844.908800000005</v>
      </c>
      <c r="H12" s="37">
        <f>+SUMIF('📁 Panel CMF'!$D$3:$D$93,'🏦 Agregados CMF'!A12,'📁 Panel CMF'!$J$3:$J$93)</f>
        <v>99711</v>
      </c>
      <c r="I12" s="39">
        <f t="shared" si="2"/>
        <v>0.5170545068256045</v>
      </c>
      <c r="J12" s="40">
        <v>239556000</v>
      </c>
      <c r="K12" s="41">
        <f t="shared" si="3"/>
        <v>7.1607853195077564E-2</v>
      </c>
    </row>
    <row r="13" spans="1:11" ht="16.95" customHeight="1" x14ac:dyDescent="0.3">
      <c r="A13" s="42">
        <v>2022</v>
      </c>
      <c r="B13" s="42">
        <f>+COUNTIF('📁 Panel CMF'!$D$3:$D$93,'🏦 Agregados CMF'!A13)</f>
        <v>7</v>
      </c>
      <c r="C13" s="43">
        <f>+SUMIF('📁 Panel CMF'!$D$3:$D$93,'🏦 Agregados CMF'!A13,'📁 Panel CMF'!$E$3:$E$93)</f>
        <v>339948</v>
      </c>
      <c r="D13" s="43">
        <f t="shared" si="0"/>
        <v>128364.3648</v>
      </c>
      <c r="E13" s="44">
        <f t="shared" si="1"/>
        <v>211583.63520000002</v>
      </c>
      <c r="F13" s="43">
        <f>+SUMIF('📁 Panel CMF'!$D$3:$D$93,'🏦 Agregados CMF'!A13,'📁 Panel CMF'!$H$3:$H$93)</f>
        <v>91779.8</v>
      </c>
      <c r="G13" s="43">
        <f t="shared" si="4"/>
        <v>119803.83520000002</v>
      </c>
      <c r="H13" s="43">
        <f>+SUMIF('📁 Panel CMF'!$D$3:$D$93,'🏦 Agregados CMF'!A13,'📁 Panel CMF'!$J$3:$J$93)</f>
        <v>128122</v>
      </c>
      <c r="I13" s="45">
        <f t="shared" si="2"/>
        <v>0.43377551346655374</v>
      </c>
      <c r="J13" s="46">
        <v>262954000</v>
      </c>
      <c r="K13" s="47">
        <f t="shared" si="3"/>
        <v>8.0464124980034538E-2</v>
      </c>
    </row>
    <row r="14" spans="1:11" ht="16.95" customHeight="1" x14ac:dyDescent="0.3">
      <c r="A14" s="36">
        <v>2023</v>
      </c>
      <c r="B14" s="36">
        <f>+COUNTIF('📁 Panel CMF'!$D$3:$D$93,'🏦 Agregados CMF'!A14)</f>
        <v>7</v>
      </c>
      <c r="C14" s="37">
        <f>+SUMIF('📁 Panel CMF'!$D$3:$D$93,'🏦 Agregados CMF'!A14,'📁 Panel CMF'!$E$3:$E$93)</f>
        <v>337614</v>
      </c>
      <c r="D14" s="37">
        <f t="shared" si="0"/>
        <v>127483.04639999999</v>
      </c>
      <c r="E14" s="38">
        <f t="shared" si="1"/>
        <v>210130.95360000001</v>
      </c>
      <c r="F14" s="37">
        <f>+SUMIF('📁 Panel CMF'!$D$3:$D$93,'🏦 Agregados CMF'!A14,'📁 Panel CMF'!$H$3:$H$93)</f>
        <v>92726.6</v>
      </c>
      <c r="G14" s="37">
        <f t="shared" si="4"/>
        <v>117404.3536</v>
      </c>
      <c r="H14" s="37">
        <f>+SUMIF('📁 Panel CMF'!$D$3:$D$93,'🏦 Agregados CMF'!A14,'📁 Panel CMF'!$J$3:$J$93)</f>
        <v>92033</v>
      </c>
      <c r="I14" s="39">
        <f t="shared" si="2"/>
        <v>0.44128006089246624</v>
      </c>
      <c r="J14" s="40">
        <v>282097000</v>
      </c>
      <c r="K14" s="41">
        <f t="shared" si="3"/>
        <v>7.4488900484585091E-2</v>
      </c>
    </row>
    <row r="15" spans="1:11" ht="16.95" customHeight="1" x14ac:dyDescent="0.3">
      <c r="A15" s="42">
        <v>2024</v>
      </c>
      <c r="B15" s="42">
        <f>+COUNTIF('📁 Panel CMF'!$D$3:$D$93,'🏦 Agregados CMF'!A15)</f>
        <v>7</v>
      </c>
      <c r="C15" s="43">
        <f>+SUMIF('📁 Panel CMF'!$D$3:$D$93,'🏦 Agregados CMF'!A15,'📁 Panel CMF'!$E$3:$E$93)</f>
        <v>404738</v>
      </c>
      <c r="D15" s="43">
        <f t="shared" si="0"/>
        <v>152829.06880000001</v>
      </c>
      <c r="E15" s="44">
        <f t="shared" si="1"/>
        <v>251908.93119999999</v>
      </c>
      <c r="F15" s="43">
        <f>+SUMIF('📁 Panel CMF'!$D$3:$D$93,'🏦 Agregados CMF'!A15,'📁 Panel CMF'!$H$3:$H$93)</f>
        <v>109310</v>
      </c>
      <c r="G15" s="43">
        <f t="shared" si="4"/>
        <v>142598.93119999999</v>
      </c>
      <c r="H15" s="43">
        <f>+SUMIF('📁 Panel CMF'!$D$3:$D$93,'🏦 Agregados CMF'!A15,'📁 Panel CMF'!$J$3:$J$93)</f>
        <v>101974</v>
      </c>
      <c r="I15" s="45">
        <f t="shared" si="2"/>
        <v>0.43392665547540543</v>
      </c>
      <c r="J15" s="46">
        <v>310681000</v>
      </c>
      <c r="K15" s="47">
        <f t="shared" si="3"/>
        <v>8.1082824891126268E-2</v>
      </c>
    </row>
    <row r="16" spans="1:11" ht="16.95" customHeight="1" x14ac:dyDescent="0.3">
      <c r="A16" s="36">
        <v>2025</v>
      </c>
      <c r="B16" s="36">
        <f>+COUNTIF('📁 Panel CMF'!$D$3:$D$93,'🏦 Agregados CMF'!A16)</f>
        <v>7</v>
      </c>
      <c r="C16" s="37">
        <f>+SUMIF('📁 Panel CMF'!$D$3:$D$93,'🏦 Agregados CMF'!A16,'📁 Panel CMF'!$E$3:$E$93)</f>
        <v>445885</v>
      </c>
      <c r="D16" s="37">
        <f t="shared" si="0"/>
        <v>168366.17600000001</v>
      </c>
      <c r="E16" s="38">
        <f t="shared" si="1"/>
        <v>277518.82400000002</v>
      </c>
      <c r="F16" s="37">
        <f>+SUMIF('📁 Panel CMF'!$D$3:$D$93,'🏦 Agregados CMF'!A16,'📁 Panel CMF'!$H$3:$H$93)</f>
        <v>122763.2</v>
      </c>
      <c r="G16" s="37">
        <f t="shared" si="4"/>
        <v>154755.62400000001</v>
      </c>
      <c r="H16" s="37">
        <f>+SUMIF('📁 Panel CMF'!$D$3:$D$93,'🏦 Agregados CMF'!A16,'📁 Panel CMF'!$J$3:$J$93)</f>
        <v>108265</v>
      </c>
      <c r="I16" s="39">
        <f t="shared" si="2"/>
        <v>0.44235990276464987</v>
      </c>
      <c r="J16" s="40">
        <v>339978000</v>
      </c>
      <c r="K16" s="41">
        <f>+(E16/J16)*100</f>
        <v>8.1628465371288733E-2</v>
      </c>
    </row>
    <row r="17" spans="1:11" ht="19.95" customHeight="1" x14ac:dyDescent="0.3">
      <c r="A17" s="92" t="s">
        <v>36</v>
      </c>
      <c r="B17" s="78"/>
      <c r="C17" s="21">
        <f>+SUM(C4:C16)</f>
        <v>3882791</v>
      </c>
      <c r="D17" s="21">
        <f t="shared" ref="D17:H17" si="5">+SUM(D4:D16)</f>
        <v>1466141.8816</v>
      </c>
      <c r="E17" s="21">
        <f t="shared" si="5"/>
        <v>2416649.1184000005</v>
      </c>
      <c r="F17" s="21">
        <f t="shared" si="5"/>
        <v>1081034.5</v>
      </c>
      <c r="G17" s="21">
        <f t="shared" si="5"/>
        <v>1335614.6184</v>
      </c>
      <c r="H17" s="21">
        <f t="shared" si="5"/>
        <v>949227.8</v>
      </c>
      <c r="I17" s="22" t="s">
        <v>37</v>
      </c>
      <c r="J17" s="22" t="s">
        <v>37</v>
      </c>
      <c r="K17" s="56"/>
    </row>
    <row r="21" spans="1:11" ht="17.399999999999999" x14ac:dyDescent="0.3">
      <c r="A21" s="91" t="s">
        <v>38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x14ac:dyDescent="0.3">
      <c r="A22" s="90" t="s">
        <v>39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</row>
    <row r="23" spans="1:11" ht="27.6" x14ac:dyDescent="0.3">
      <c r="A23" s="20" t="s">
        <v>25</v>
      </c>
      <c r="B23" s="20" t="s">
        <v>26</v>
      </c>
      <c r="C23" s="20" t="s">
        <v>40</v>
      </c>
      <c r="D23" s="20" t="s">
        <v>41</v>
      </c>
      <c r="E23" s="20" t="s">
        <v>42</v>
      </c>
      <c r="F23" s="20" t="s">
        <v>43</v>
      </c>
      <c r="G23" s="20" t="s">
        <v>44</v>
      </c>
      <c r="H23" s="20" t="s">
        <v>45</v>
      </c>
    </row>
    <row r="24" spans="1:11" x14ac:dyDescent="0.3">
      <c r="A24" s="42">
        <v>2013</v>
      </c>
      <c r="B24" s="42">
        <f>+COUNTIF('📁 Panel CMF'!$D$3:$D$93,'🏦 Agregados CMF'!A24)</f>
        <v>7</v>
      </c>
      <c r="C24" s="43">
        <f>+SUMIF('📁 Panel CMF'!$D$3:$D$93,'🏦 Agregados CMF'!A24,'📁 Panel CMF'!$M$3:$M$93)</f>
        <v>1434093.4</v>
      </c>
      <c r="D24" s="43">
        <f>+SUMIF('📁 Panel CMF'!$D$3:$D$93,'🏦 Agregados CMF'!A24,'📁 Panel CMF'!$N$3:$N$93)</f>
        <v>439510.7</v>
      </c>
      <c r="E24" s="44">
        <f>+SUMIF('📁 Panel CMF'!$D$3:$D$93,'🏦 Agregados CMF'!A24,'📁 Panel CMF'!$K$3:$K$93)</f>
        <v>709177.89999999991</v>
      </c>
      <c r="F24" s="43">
        <f>+SUMIF('📁 Panel CMF'!$D$3:$D$93,'🏦 Agregados CMF'!A24,'📁 Panel CMF'!$L$3:$L$93)</f>
        <v>1274441.1000000001</v>
      </c>
      <c r="G24" s="58">
        <f>+F24/C24</f>
        <v>0.88867370842094395</v>
      </c>
      <c r="H24" s="58">
        <f>+E24/C24</f>
        <v>0.49451304915007627</v>
      </c>
    </row>
    <row r="25" spans="1:11" x14ac:dyDescent="0.3">
      <c r="A25" s="36">
        <v>2014</v>
      </c>
      <c r="B25" s="36">
        <f>+COUNTIF('📁 Panel CMF'!$D$3:$D$93,'🏦 Agregados CMF'!A25)</f>
        <v>7</v>
      </c>
      <c r="C25" s="37">
        <f>+SUMIF('📁 Panel CMF'!$D$3:$D$93,'🏦 Agregados CMF'!A25,'📁 Panel CMF'!$M$3:$M$93)</f>
        <v>1432047.9999999998</v>
      </c>
      <c r="D25" s="37">
        <f>+SUMIF('📁 Panel CMF'!$D$3:$D$93,'🏦 Agregados CMF'!A25,'📁 Panel CMF'!$N$3:$N$93)</f>
        <v>449722.7</v>
      </c>
      <c r="E25" s="38">
        <f>+SUMIF('📁 Panel CMF'!$D$3:$D$93,'🏦 Agregados CMF'!A25,'📁 Panel CMF'!$K$3:$K$93)</f>
        <v>716124.9</v>
      </c>
      <c r="F25" s="37">
        <f>+SUMIF('📁 Panel CMF'!$D$3:$D$93,'🏦 Agregados CMF'!A25,'📁 Panel CMF'!$L$3:$L$93)</f>
        <v>1266778.5</v>
      </c>
      <c r="G25" s="57">
        <f>+F25/C25</f>
        <v>0.88459220640648928</v>
      </c>
      <c r="H25" s="57">
        <f>+E25/C25</f>
        <v>0.50007045853211629</v>
      </c>
    </row>
    <row r="26" spans="1:11" x14ac:dyDescent="0.3">
      <c r="A26" s="42">
        <v>2015</v>
      </c>
      <c r="B26" s="42">
        <f>+COUNTIF('📁 Panel CMF'!$D$3:$D$93,'🏦 Agregados CMF'!A26)</f>
        <v>7</v>
      </c>
      <c r="C26" s="43">
        <f>+SUMIF('📁 Panel CMF'!$D$3:$D$93,'🏦 Agregados CMF'!A26,'📁 Panel CMF'!$M$3:$M$93)</f>
        <v>1529424.5</v>
      </c>
      <c r="D26" s="43">
        <f>+SUMIF('📁 Panel CMF'!$D$3:$D$93,'🏦 Agregados CMF'!A26,'📁 Panel CMF'!$N$3:$N$93)</f>
        <v>491407.19999999995</v>
      </c>
      <c r="E26" s="44">
        <f>+SUMIF('📁 Panel CMF'!$D$3:$D$93,'🏦 Agregados CMF'!A26,'📁 Panel CMF'!$K$3:$K$93)</f>
        <v>742253.9</v>
      </c>
      <c r="F26" s="43">
        <f>+SUMIF('📁 Panel CMF'!$D$3:$D$93,'🏦 Agregados CMF'!A26,'📁 Panel CMF'!$L$3:$L$93)</f>
        <v>1331001.6999999997</v>
      </c>
      <c r="G26" s="58">
        <f t="shared" ref="G26:G35" si="6">+F26/C26</f>
        <v>0.87026309569383764</v>
      </c>
      <c r="H26" s="58">
        <f t="shared" ref="H26:H35" si="7">+E26/C26</f>
        <v>0.48531581650483568</v>
      </c>
    </row>
    <row r="27" spans="1:11" x14ac:dyDescent="0.3">
      <c r="A27" s="36">
        <v>2016</v>
      </c>
      <c r="B27" s="36">
        <f>+COUNTIF('📁 Panel CMF'!$D$3:$D$93,'🏦 Agregados CMF'!A27)</f>
        <v>7</v>
      </c>
      <c r="C27" s="37">
        <f>+SUMIF('📁 Panel CMF'!$D$3:$D$93,'🏦 Agregados CMF'!A27,'📁 Panel CMF'!$M$3:$M$93)</f>
        <v>1666467.7</v>
      </c>
      <c r="D27" s="37">
        <f>+SUMIF('📁 Panel CMF'!$D$3:$D$93,'🏦 Agregados CMF'!A27,'📁 Panel CMF'!$N$3:$N$93)</f>
        <v>533773.4</v>
      </c>
      <c r="E27" s="38">
        <f>+SUMIF('📁 Panel CMF'!$D$3:$D$93,'🏦 Agregados CMF'!A27,'📁 Panel CMF'!$K$3:$K$93)</f>
        <v>845168.9</v>
      </c>
      <c r="F27" s="37">
        <f>+SUMIF('📁 Panel CMF'!$D$3:$D$93,'🏦 Agregados CMF'!A27,'📁 Panel CMF'!$L$3:$L$93)</f>
        <v>1417495.0999999999</v>
      </c>
      <c r="G27" s="57">
        <f t="shared" si="6"/>
        <v>0.85059860446140056</v>
      </c>
      <c r="H27" s="57">
        <f t="shared" si="7"/>
        <v>0.50716188498582959</v>
      </c>
    </row>
    <row r="28" spans="1:11" x14ac:dyDescent="0.3">
      <c r="A28" s="42">
        <v>2017</v>
      </c>
      <c r="B28" s="42">
        <f>+COUNTIF('📁 Panel CMF'!$D$3:$D$93,'🏦 Agregados CMF'!A28)</f>
        <v>7</v>
      </c>
      <c r="C28" s="43">
        <f>+SUMIF('📁 Panel CMF'!$D$3:$D$93,'🏦 Agregados CMF'!A28,'📁 Panel CMF'!$M$3:$M$93)</f>
        <v>1810978</v>
      </c>
      <c r="D28" s="43">
        <f>+SUMIF('📁 Panel CMF'!$D$3:$D$93,'🏦 Agregados CMF'!A28,'📁 Panel CMF'!$N$3:$N$93)</f>
        <v>510013</v>
      </c>
      <c r="E28" s="44">
        <f>+SUMIF('📁 Panel CMF'!$D$3:$D$93,'🏦 Agregados CMF'!A28,'📁 Panel CMF'!$K$3:$K$93)</f>
        <v>849926</v>
      </c>
      <c r="F28" s="43">
        <f>+SUMIF('📁 Panel CMF'!$D$3:$D$93,'🏦 Agregados CMF'!A28,'📁 Panel CMF'!$L$3:$L$93)</f>
        <v>1563136</v>
      </c>
      <c r="G28" s="58">
        <f t="shared" si="6"/>
        <v>0.86314466547909474</v>
      </c>
      <c r="H28" s="58">
        <f t="shared" si="7"/>
        <v>0.46931878796981519</v>
      </c>
    </row>
    <row r="29" spans="1:11" x14ac:dyDescent="0.3">
      <c r="A29" s="36">
        <v>2018</v>
      </c>
      <c r="B29" s="36">
        <f>+COUNTIF('📁 Panel CMF'!$D$3:$D$93,'🏦 Agregados CMF'!A29)</f>
        <v>7</v>
      </c>
      <c r="C29" s="37">
        <f>+SUMIF('📁 Panel CMF'!$D$3:$D$93,'🏦 Agregados CMF'!A29,'📁 Panel CMF'!$M$3:$M$93)</f>
        <v>1981664</v>
      </c>
      <c r="D29" s="37">
        <f>+SUMIF('📁 Panel CMF'!$D$3:$D$93,'🏦 Agregados CMF'!A29,'📁 Panel CMF'!$N$3:$N$93)</f>
        <v>538757</v>
      </c>
      <c r="E29" s="38">
        <f>+SUMIF('📁 Panel CMF'!$D$3:$D$93,'🏦 Agregados CMF'!A29,'📁 Panel CMF'!$K$3:$K$93)</f>
        <v>925938</v>
      </c>
      <c r="F29" s="37">
        <f>+SUMIF('📁 Panel CMF'!$D$3:$D$93,'🏦 Agregados CMF'!A29,'📁 Panel CMF'!$L$3:$L$93)</f>
        <v>1669836</v>
      </c>
      <c r="G29" s="57">
        <f t="shared" si="6"/>
        <v>0.84264335427196535</v>
      </c>
      <c r="H29" s="57">
        <f t="shared" si="7"/>
        <v>0.46725277342677668</v>
      </c>
    </row>
    <row r="30" spans="1:11" x14ac:dyDescent="0.3">
      <c r="A30" s="42">
        <v>2019</v>
      </c>
      <c r="B30" s="42">
        <f>+COUNTIF('📁 Panel CMF'!$D$3:$D$93,'🏦 Agregados CMF'!A30)</f>
        <v>7</v>
      </c>
      <c r="C30" s="43">
        <f>+SUMIF('📁 Panel CMF'!$D$3:$D$93,'🏦 Agregados CMF'!A30,'📁 Panel CMF'!$M$3:$M$93)</f>
        <v>2196438</v>
      </c>
      <c r="D30" s="43">
        <f>+SUMIF('📁 Panel CMF'!$D$3:$D$93,'🏦 Agregados CMF'!A30,'📁 Panel CMF'!$N$3:$N$93)</f>
        <v>577075</v>
      </c>
      <c r="E30" s="44">
        <f>+SUMIF('📁 Panel CMF'!$D$3:$D$93,'🏦 Agregados CMF'!A30,'📁 Panel CMF'!$K$3:$K$93)</f>
        <v>1046676</v>
      </c>
      <c r="F30" s="43">
        <f>+SUMIF('📁 Panel CMF'!$D$3:$D$93,'🏦 Agregados CMF'!A30,'📁 Panel CMF'!$L$3:$L$93)</f>
        <v>1816557</v>
      </c>
      <c r="G30" s="58">
        <f t="shared" si="6"/>
        <v>0.82704679121377433</v>
      </c>
      <c r="H30" s="58">
        <f t="shared" si="7"/>
        <v>0.47653336902748905</v>
      </c>
    </row>
    <row r="31" spans="1:11" x14ac:dyDescent="0.3">
      <c r="A31" s="36">
        <v>2020</v>
      </c>
      <c r="B31" s="36">
        <f>+COUNTIF('📁 Panel CMF'!$D$3:$D$93,'🏦 Agregados CMF'!A31)</f>
        <v>7</v>
      </c>
      <c r="C31" s="37">
        <f>+SUMIF('📁 Panel CMF'!$D$3:$D$93,'🏦 Agregados CMF'!A31,'📁 Panel CMF'!$M$3:$M$93)</f>
        <v>2539812</v>
      </c>
      <c r="D31" s="37">
        <f>+SUMIF('📁 Panel CMF'!$D$3:$D$93,'🏦 Agregados CMF'!A31,'📁 Panel CMF'!$N$3:$N$93)</f>
        <v>622202</v>
      </c>
      <c r="E31" s="38">
        <f>+SUMIF('📁 Panel CMF'!$D$3:$D$93,'🏦 Agregados CMF'!A31,'📁 Panel CMF'!$K$3:$K$93)</f>
        <v>1335887</v>
      </c>
      <c r="F31" s="37">
        <f>+SUMIF('📁 Panel CMF'!$D$3:$D$93,'🏦 Agregados CMF'!A31,'📁 Panel CMF'!$L$3:$L$93)</f>
        <v>1845854</v>
      </c>
      <c r="G31" s="57">
        <f t="shared" si="6"/>
        <v>0.72676796550295852</v>
      </c>
      <c r="H31" s="57">
        <f t="shared" si="7"/>
        <v>0.52597869448604861</v>
      </c>
    </row>
    <row r="32" spans="1:11" x14ac:dyDescent="0.3">
      <c r="A32" s="42">
        <v>2021</v>
      </c>
      <c r="B32" s="42">
        <f>+COUNTIF('📁 Panel CMF'!$D$3:$D$93,'🏦 Agregados CMF'!A32)</f>
        <v>7</v>
      </c>
      <c r="C32" s="43">
        <f>+SUMIF('📁 Panel CMF'!$D$3:$D$93,'🏦 Agregados CMF'!A32,'📁 Panel CMF'!$M$3:$M$93)</f>
        <v>2839874</v>
      </c>
      <c r="D32" s="43">
        <f>+SUMIF('📁 Panel CMF'!$D$3:$D$93,'🏦 Agregados CMF'!A32,'📁 Panel CMF'!$N$3:$N$93)</f>
        <v>662605</v>
      </c>
      <c r="E32" s="44">
        <f>+SUMIF('📁 Panel CMF'!$D$3:$D$93,'🏦 Agregados CMF'!A32,'📁 Panel CMF'!$K$3:$K$93)</f>
        <v>1672418</v>
      </c>
      <c r="F32" s="43">
        <f>+SUMIF('📁 Panel CMF'!$D$3:$D$93,'🏦 Agregados CMF'!A32,'📁 Panel CMF'!$L$3:$L$93)</f>
        <v>1927331</v>
      </c>
      <c r="G32" s="58">
        <f t="shared" si="6"/>
        <v>0.67866778596515198</v>
      </c>
      <c r="H32" s="58">
        <f t="shared" si="7"/>
        <v>0.5889057049714177</v>
      </c>
    </row>
    <row r="33" spans="1:8" x14ac:dyDescent="0.3">
      <c r="A33" s="36">
        <v>2022</v>
      </c>
      <c r="B33" s="36">
        <f>+COUNTIF('📁 Panel CMF'!$D$3:$D$93,'🏦 Agregados CMF'!A33)</f>
        <v>7</v>
      </c>
      <c r="C33" s="37">
        <f>+SUMIF('📁 Panel CMF'!$D$3:$D$93,'🏦 Agregados CMF'!A33,'📁 Panel CMF'!$M$3:$M$93)</f>
        <v>3148866</v>
      </c>
      <c r="D33" s="37">
        <f>+SUMIF('📁 Panel CMF'!$D$3:$D$93,'🏦 Agregados CMF'!A33,'📁 Panel CMF'!$N$3:$N$93)</f>
        <v>754875</v>
      </c>
      <c r="E33" s="38">
        <f>+SUMIF('📁 Panel CMF'!$D$3:$D$93,'🏦 Agregados CMF'!A33,'📁 Panel CMF'!$K$3:$K$93)</f>
        <v>1851317</v>
      </c>
      <c r="F33" s="37">
        <f>+SUMIF('📁 Panel CMF'!$D$3:$D$93,'🏦 Agregados CMF'!A33,'📁 Panel CMF'!$L$3:$L$93)</f>
        <v>2320141</v>
      </c>
      <c r="G33" s="57">
        <f t="shared" si="6"/>
        <v>0.73681795287573371</v>
      </c>
      <c r="H33" s="57">
        <f t="shared" si="7"/>
        <v>0.58793133782129825</v>
      </c>
    </row>
    <row r="34" spans="1:8" x14ac:dyDescent="0.3">
      <c r="A34" s="42">
        <v>2023</v>
      </c>
      <c r="B34" s="42">
        <f>+COUNTIF('📁 Panel CMF'!$D$3:$D$93,'🏦 Agregados CMF'!A34)</f>
        <v>7</v>
      </c>
      <c r="C34" s="43">
        <f>+SUMIF('📁 Panel CMF'!$D$3:$D$93,'🏦 Agregados CMF'!A34,'📁 Panel CMF'!$M$3:$M$93)</f>
        <v>3570911</v>
      </c>
      <c r="D34" s="43">
        <f>+SUMIF('📁 Panel CMF'!$D$3:$D$93,'🏦 Agregados CMF'!A34,'📁 Panel CMF'!$N$3:$N$93)</f>
        <v>780738</v>
      </c>
      <c r="E34" s="44">
        <f>+SUMIF('📁 Panel CMF'!$D$3:$D$93,'🏦 Agregados CMF'!A34,'📁 Panel CMF'!$K$3:$K$93)</f>
        <v>2227089</v>
      </c>
      <c r="F34" s="43">
        <f>+SUMIF('📁 Panel CMF'!$D$3:$D$93,'🏦 Agregados CMF'!A34,'📁 Panel CMF'!$L$3:$L$93)</f>
        <v>2709167</v>
      </c>
      <c r="G34" s="58">
        <f t="shared" si="6"/>
        <v>0.75867670742844051</v>
      </c>
      <c r="H34" s="58">
        <f t="shared" si="7"/>
        <v>0.62367530302491436</v>
      </c>
    </row>
    <row r="35" spans="1:8" x14ac:dyDescent="0.3">
      <c r="A35" s="36">
        <v>2024</v>
      </c>
      <c r="B35" s="36">
        <f>+COUNTIF('📁 Panel CMF'!$D$3:$D$93,'🏦 Agregados CMF'!A35)</f>
        <v>7</v>
      </c>
      <c r="C35" s="37">
        <f>+SUMIF('📁 Panel CMF'!$D$3:$D$93,'🏦 Agregados CMF'!A35,'📁 Panel CMF'!$M$3:$M$93)</f>
        <v>4056784</v>
      </c>
      <c r="D35" s="37">
        <f>+SUMIF('📁 Panel CMF'!$D$3:$D$93,'🏦 Agregados CMF'!A35,'📁 Panel CMF'!$N$3:$N$93)</f>
        <v>862532</v>
      </c>
      <c r="E35" s="38">
        <f>+SUMIF('📁 Panel CMF'!$D$3:$D$93,'🏦 Agregados CMF'!A35,'📁 Panel CMF'!$K$3:$K$93)</f>
        <v>2536374</v>
      </c>
      <c r="F35" s="37">
        <f>+SUMIF('📁 Panel CMF'!$D$3:$D$93,'🏦 Agregados CMF'!A35,'📁 Panel CMF'!$L$3:$L$93)</f>
        <v>3042152</v>
      </c>
      <c r="G35" s="57">
        <f t="shared" si="6"/>
        <v>0.74989252570509057</v>
      </c>
      <c r="H35" s="57">
        <f t="shared" si="7"/>
        <v>0.62521790659793575</v>
      </c>
    </row>
    <row r="36" spans="1:8" x14ac:dyDescent="0.3">
      <c r="A36" s="42">
        <v>2025</v>
      </c>
      <c r="B36" s="42">
        <f>+COUNTIF('📁 Panel CMF'!$D$3:$D$93,'🏦 Agregados CMF'!A36)</f>
        <v>7</v>
      </c>
      <c r="C36" s="43">
        <f>+SUMIF('📁 Panel CMF'!$D$3:$D$93,'🏦 Agregados CMF'!A36,'📁 Panel CMF'!$M$3:$M$93)</f>
        <v>4481909</v>
      </c>
      <c r="D36" s="43">
        <f>+SUMIF('📁 Panel CMF'!$D$3:$D$93,'🏦 Agregados CMF'!A36,'📁 Panel CMF'!$N$3:$N$93)</f>
        <v>915240</v>
      </c>
      <c r="E36" s="44">
        <f>+SUMIF('📁 Panel CMF'!$D$3:$D$93,'🏦 Agregados CMF'!A36,'📁 Panel CMF'!$K$3:$K$93)</f>
        <v>2761339</v>
      </c>
      <c r="F36" s="43">
        <f>+SUMIF('📁 Panel CMF'!$D$3:$D$93,'🏦 Agregados CMF'!A36,'📁 Panel CMF'!$L$3:$L$93)</f>
        <v>3369182</v>
      </c>
      <c r="G36" s="58">
        <f t="shared" ref="G36" si="8">+F36/C36</f>
        <v>0.75172922966530553</v>
      </c>
      <c r="H36" s="58">
        <f t="shared" ref="H36" si="9">+E36/C36</f>
        <v>0.61610777907360459</v>
      </c>
    </row>
    <row r="37" spans="1:8" x14ac:dyDescent="0.3">
      <c r="A37" s="88" t="s">
        <v>36</v>
      </c>
      <c r="B37" s="89"/>
      <c r="C37" s="21">
        <f>+SUM(C24:C36)</f>
        <v>32689269.600000001</v>
      </c>
      <c r="D37" s="21">
        <f t="shared" ref="D37:F37" si="10">+SUM(D24:D36)</f>
        <v>8138451</v>
      </c>
      <c r="E37" s="21">
        <f t="shared" si="10"/>
        <v>18219689.600000001</v>
      </c>
      <c r="F37" s="21">
        <f t="shared" si="10"/>
        <v>25553072.399999999</v>
      </c>
      <c r="G37" s="21" t="s">
        <v>37</v>
      </c>
      <c r="H37" s="21" t="s">
        <v>37</v>
      </c>
    </row>
  </sheetData>
  <mergeCells count="6">
    <mergeCell ref="A37:B37"/>
    <mergeCell ref="A2:K2"/>
    <mergeCell ref="A1:K1"/>
    <mergeCell ref="A17:B17"/>
    <mergeCell ref="A21:K21"/>
    <mergeCell ref="A22:K22"/>
  </mergeCells>
  <pageMargins left="0.75" right="0.75" top="1" bottom="1" header="0.5" footer="0.5"/>
  <ignoredErrors>
    <ignoredError sqref="F4 F5:F1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D0BC-D23D-4D1C-A96D-8A3638945339}">
  <sheetPr>
    <tabColor rgb="FF00B050"/>
  </sheetPr>
  <dimension ref="A1:K36"/>
  <sheetViews>
    <sheetView zoomScale="90" workbookViewId="0">
      <pane ySplit="3" topLeftCell="A8" activePane="bottomLeft" state="frozen"/>
      <selection pane="bottomLeft" activeCell="O8" sqref="O8"/>
    </sheetView>
  </sheetViews>
  <sheetFormatPr baseColWidth="10" defaultColWidth="8.88671875" defaultRowHeight="14.4" x14ac:dyDescent="0.3"/>
  <cols>
    <col min="1" max="1" width="8" customWidth="1"/>
    <col min="2" max="2" width="6" customWidth="1"/>
    <col min="3" max="8" width="14" customWidth="1"/>
    <col min="9" max="9" width="10" customWidth="1"/>
    <col min="10" max="10" width="18" customWidth="1"/>
    <col min="11" max="11" width="14" customWidth="1"/>
  </cols>
  <sheetData>
    <row r="1" spans="1:11" ht="28.05" customHeight="1" x14ac:dyDescent="0.3">
      <c r="A1" s="91" t="s">
        <v>2021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6.05" customHeight="1" x14ac:dyDescent="0.3">
      <c r="A2" s="93" t="s">
        <v>46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31.95" customHeight="1" x14ac:dyDescent="0.3">
      <c r="A3" s="20" t="s">
        <v>25</v>
      </c>
      <c r="B3" s="20" t="s">
        <v>26</v>
      </c>
      <c r="C3" s="20" t="s">
        <v>27</v>
      </c>
      <c r="D3" s="20" t="s">
        <v>28</v>
      </c>
      <c r="E3" s="20" t="s">
        <v>29</v>
      </c>
      <c r="F3" s="20" t="s">
        <v>30</v>
      </c>
      <c r="G3" s="20" t="s">
        <v>31</v>
      </c>
      <c r="H3" s="20" t="s">
        <v>32</v>
      </c>
      <c r="I3" s="20" t="s">
        <v>33</v>
      </c>
      <c r="J3" s="20" t="s">
        <v>34</v>
      </c>
      <c r="K3" s="20" t="s">
        <v>35</v>
      </c>
    </row>
    <row r="4" spans="1:11" ht="16.95" customHeight="1" x14ac:dyDescent="0.3">
      <c r="A4" s="36">
        <v>2013</v>
      </c>
      <c r="B4" s="36">
        <v>7</v>
      </c>
      <c r="C4" s="37">
        <f>+SUMIF('📁 Panel CMF'!$D$3:$D$93,'🏦 Agregados CMF'!A4,'📁 Panel CMF'!$E$3:$E$93)</f>
        <v>260475.00000000003</v>
      </c>
      <c r="D4" s="37">
        <f>0.3776*C4</f>
        <v>98355.360000000015</v>
      </c>
      <c r="E4" s="38">
        <f>+C4-D4</f>
        <v>162119.64000000001</v>
      </c>
      <c r="F4" s="37">
        <f>+SUMIF('📁 Panel CMF'!$D$3:$D$93,'🏦 Agregados CMF'!A4,'📁 Panel CMF'!$H$3:$H$93)</f>
        <v>61877.3</v>
      </c>
      <c r="G4" s="37">
        <f>+E4-F4</f>
        <v>100242.34000000001</v>
      </c>
      <c r="H4" s="37">
        <f>+SUMIF('📁 Panel CMF'!$D$3:$D$93,'🏦 Agregados CMF'!A4,'📁 Panel CMF'!$J$3:$J$93)</f>
        <v>22868.399999999998</v>
      </c>
      <c r="I4" s="39">
        <f>+F4/E4</f>
        <v>0.3816767666150751</v>
      </c>
      <c r="J4" s="40">
        <v>136003000</v>
      </c>
      <c r="K4" s="41">
        <f>+(E4/J4)*100</f>
        <v>0.11920298816937862</v>
      </c>
    </row>
    <row r="5" spans="1:11" ht="16.95" customHeight="1" x14ac:dyDescent="0.3">
      <c r="A5" s="42">
        <v>2014</v>
      </c>
      <c r="B5" s="42">
        <f>+'📊 Agregados DAES'!B4+'🏦 Agregados CMF'!B5</f>
        <v>9</v>
      </c>
      <c r="C5" s="43">
        <f>+'🏦 Agregados CMF'!C5+'📊 Agregados DAES'!C4</f>
        <v>248652.99282000001</v>
      </c>
      <c r="D5" s="43">
        <f t="shared" ref="D5:D16" si="0">0.3776*C5</f>
        <v>93891.370088832002</v>
      </c>
      <c r="E5" s="44">
        <f t="shared" ref="E5:E16" si="1">+C5-D5</f>
        <v>154761.622731168</v>
      </c>
      <c r="F5" s="43">
        <f>+'🏦 Agregados CMF'!F5+'📊 Agregados DAES'!F4</f>
        <v>58623.023596999999</v>
      </c>
      <c r="G5" s="43">
        <f t="shared" ref="G5:G16" si="2">+E5-F5</f>
        <v>96138.599134168006</v>
      </c>
      <c r="H5" s="43">
        <f>+'📊 Agregados DAES'!H4+'🏦 Agregados CMF'!H5</f>
        <v>23286.547076000003</v>
      </c>
      <c r="I5" s="45">
        <f t="shared" ref="I5:I16" si="3">+F5/E5</f>
        <v>0.37879561200280498</v>
      </c>
      <c r="J5" s="46">
        <v>144706000</v>
      </c>
      <c r="K5" s="47">
        <f t="shared" ref="K5:K16" si="4">+(E5/J5)*100</f>
        <v>0.10694900192885436</v>
      </c>
    </row>
    <row r="6" spans="1:11" ht="16.95" customHeight="1" x14ac:dyDescent="0.3">
      <c r="A6" s="36">
        <v>2015</v>
      </c>
      <c r="B6" s="36">
        <f>+'📊 Agregados DAES'!B5+'🏦 Agregados CMF'!B6</f>
        <v>14</v>
      </c>
      <c r="C6" s="37">
        <f>+'🏦 Agregados CMF'!C6+'📊 Agregados DAES'!C5</f>
        <v>259248.064384</v>
      </c>
      <c r="D6" s="37">
        <f t="shared" si="0"/>
        <v>97892.069111398392</v>
      </c>
      <c r="E6" s="38">
        <f t="shared" si="1"/>
        <v>161355.99527260161</v>
      </c>
      <c r="F6" s="37">
        <f>+'🏦 Agregados CMF'!F6+'📊 Agregados DAES'!F5</f>
        <v>64801.915781999996</v>
      </c>
      <c r="G6" s="37">
        <f t="shared" si="2"/>
        <v>96554.079490601609</v>
      </c>
      <c r="H6" s="37">
        <f>+'📊 Agregados DAES'!H5+'🏦 Agregados CMF'!H6</f>
        <v>36417.303211999999</v>
      </c>
      <c r="I6" s="39">
        <f t="shared" si="3"/>
        <v>0.40160835469745587</v>
      </c>
      <c r="J6" s="40">
        <v>158623000</v>
      </c>
      <c r="K6" s="41">
        <f t="shared" si="4"/>
        <v>0.10172295018540918</v>
      </c>
    </row>
    <row r="7" spans="1:11" ht="16.95" customHeight="1" x14ac:dyDescent="0.3">
      <c r="A7" s="42">
        <v>2016</v>
      </c>
      <c r="B7" s="42">
        <f>+'📊 Agregados DAES'!B6+'🏦 Agregados CMF'!B7</f>
        <v>16</v>
      </c>
      <c r="C7" s="43">
        <f>+'🏦 Agregados CMF'!C7+'📊 Agregados DAES'!C6</f>
        <v>274314.13526000001</v>
      </c>
      <c r="D7" s="43">
        <f t="shared" si="0"/>
        <v>103581.017474176</v>
      </c>
      <c r="E7" s="44">
        <f t="shared" si="1"/>
        <v>170733.117785824</v>
      </c>
      <c r="F7" s="43">
        <f>+'🏦 Agregados CMF'!F7+'📊 Agregados DAES'!F6</f>
        <v>72127.975697000002</v>
      </c>
      <c r="G7" s="43">
        <f t="shared" si="2"/>
        <v>98605.142088823995</v>
      </c>
      <c r="H7" s="43">
        <f>+'📊 Agregados DAES'!H6+'🏦 Agregados CMF'!H7</f>
        <v>48020.756445000006</v>
      </c>
      <c r="I7" s="45">
        <f t="shared" si="3"/>
        <v>0.42246036757485372</v>
      </c>
      <c r="J7" s="46">
        <v>168765000</v>
      </c>
      <c r="K7" s="47">
        <f t="shared" si="4"/>
        <v>0.10116618836004147</v>
      </c>
    </row>
    <row r="8" spans="1:11" ht="16.95" customHeight="1" x14ac:dyDescent="0.3">
      <c r="A8" s="36">
        <v>2017</v>
      </c>
      <c r="B8" s="36">
        <f>+'📊 Agregados DAES'!B7+'🏦 Agregados CMF'!B8</f>
        <v>19</v>
      </c>
      <c r="C8" s="37">
        <f>+'🏦 Agregados CMF'!C8+'📊 Agregados DAES'!C7</f>
        <v>249003.24808200001</v>
      </c>
      <c r="D8" s="37">
        <f t="shared" si="0"/>
        <v>94023.626475763202</v>
      </c>
      <c r="E8" s="38">
        <f t="shared" si="1"/>
        <v>154979.62160623679</v>
      </c>
      <c r="F8" s="37">
        <f>+'🏦 Agregados CMF'!F8+'📊 Agregados DAES'!F7</f>
        <v>76445.225143000003</v>
      </c>
      <c r="G8" s="37">
        <f t="shared" si="2"/>
        <v>78534.396463236786</v>
      </c>
      <c r="H8" s="37">
        <f>+'📊 Agregados DAES'!H7+'🏦 Agregados CMF'!H8</f>
        <v>68231.276788999996</v>
      </c>
      <c r="I8" s="39">
        <f t="shared" si="3"/>
        <v>0.49325985152569018</v>
      </c>
      <c r="J8" s="40">
        <v>179315000</v>
      </c>
      <c r="K8" s="41">
        <f t="shared" si="4"/>
        <v>8.6428698996869641E-2</v>
      </c>
    </row>
    <row r="9" spans="1:11" ht="16.95" customHeight="1" x14ac:dyDescent="0.3">
      <c r="A9" s="42">
        <v>2018</v>
      </c>
      <c r="B9" s="42">
        <f>+'📊 Agregados DAES'!B8+'🏦 Agregados CMF'!B9</f>
        <v>21</v>
      </c>
      <c r="C9" s="43">
        <f>+'🏦 Agregados CMF'!C9+'📊 Agregados DAES'!C8</f>
        <v>266655.26038300002</v>
      </c>
      <c r="D9" s="43">
        <f t="shared" si="0"/>
        <v>100689.0263206208</v>
      </c>
      <c r="E9" s="44">
        <f t="shared" si="1"/>
        <v>165966.23406237923</v>
      </c>
      <c r="F9" s="43">
        <f>+'🏦 Agregados CMF'!F9+'📊 Agregados DAES'!F8</f>
        <v>82296.241649000003</v>
      </c>
      <c r="G9" s="43">
        <f t="shared" si="2"/>
        <v>83669.992413379223</v>
      </c>
      <c r="H9" s="43">
        <f>+'📊 Agregados DAES'!H8+'🏦 Agregados CMF'!H9</f>
        <v>76266.356602</v>
      </c>
      <c r="I9" s="45">
        <f t="shared" si="3"/>
        <v>0.49586135465403497</v>
      </c>
      <c r="J9" s="46">
        <v>189435000</v>
      </c>
      <c r="K9" s="47">
        <f t="shared" si="4"/>
        <v>8.7611177481658198E-2</v>
      </c>
    </row>
    <row r="10" spans="1:11" ht="16.95" customHeight="1" x14ac:dyDescent="0.3">
      <c r="A10" s="36">
        <v>2019</v>
      </c>
      <c r="B10" s="36">
        <f>+'📊 Agregados DAES'!B9+'🏦 Agregados CMF'!B10</f>
        <v>13</v>
      </c>
      <c r="C10" s="37">
        <f>+'🏦 Agregados CMF'!C10+'📊 Agregados DAES'!C9</f>
        <v>282385.25166100002</v>
      </c>
      <c r="D10" s="37">
        <f t="shared" si="0"/>
        <v>106628.6710271936</v>
      </c>
      <c r="E10" s="38">
        <f t="shared" si="1"/>
        <v>175756.58063380641</v>
      </c>
      <c r="F10" s="37">
        <f>+'🏦 Agregados CMF'!F10+'📊 Agregados DAES'!F9</f>
        <v>85011.987563000002</v>
      </c>
      <c r="G10" s="37">
        <f t="shared" si="2"/>
        <v>90744.593070806412</v>
      </c>
      <c r="H10" s="37">
        <f>+'📊 Agregados DAES'!H9+'🏦 Agregados CMF'!H10</f>
        <v>79189.366762999998</v>
      </c>
      <c r="I10" s="39">
        <f t="shared" si="3"/>
        <v>0.48369163337402871</v>
      </c>
      <c r="J10" s="40">
        <v>195548000</v>
      </c>
      <c r="K10" s="41">
        <f t="shared" si="4"/>
        <v>8.9878996785344986E-2</v>
      </c>
    </row>
    <row r="11" spans="1:11" ht="16.95" customHeight="1" x14ac:dyDescent="0.3">
      <c r="A11" s="42">
        <v>2020</v>
      </c>
      <c r="B11" s="42">
        <f>+'📊 Agregados DAES'!B10+'🏦 Agregados CMF'!B11</f>
        <v>17</v>
      </c>
      <c r="C11" s="43">
        <f>+'🏦 Agregados CMF'!C11+'📊 Agregados DAES'!C10</f>
        <v>276050.63714300003</v>
      </c>
      <c r="D11" s="43">
        <f t="shared" si="0"/>
        <v>104236.7205851968</v>
      </c>
      <c r="E11" s="44">
        <f t="shared" si="1"/>
        <v>171813.91655780323</v>
      </c>
      <c r="F11" s="43">
        <f>+'🏦 Agregados CMF'!F11+'📊 Agregados DAES'!F10</f>
        <v>89698.905398000003</v>
      </c>
      <c r="G11" s="43">
        <f t="shared" si="2"/>
        <v>82115.011159803224</v>
      </c>
      <c r="H11" s="43">
        <f>+'📊 Agregados DAES'!H10+'🏦 Agregados CMF'!H11</f>
        <v>67474.049478999994</v>
      </c>
      <c r="I11" s="45">
        <f t="shared" si="3"/>
        <v>0.52207008137098532</v>
      </c>
      <c r="J11" s="46">
        <v>201307000</v>
      </c>
      <c r="K11" s="47">
        <f t="shared" si="4"/>
        <v>8.5349201248741097E-2</v>
      </c>
    </row>
    <row r="12" spans="1:11" ht="16.95" customHeight="1" x14ac:dyDescent="0.3">
      <c r="A12" s="36">
        <v>2021</v>
      </c>
      <c r="B12" s="36">
        <f>+'📊 Agregados DAES'!B11+'🏦 Agregados CMF'!B12</f>
        <v>17</v>
      </c>
      <c r="C12" s="37">
        <f>+'🏦 Agregados CMF'!C12+'📊 Agregados DAES'!C11</f>
        <v>281622.52014099999</v>
      </c>
      <c r="D12" s="37">
        <f t="shared" si="0"/>
        <v>106340.66360524159</v>
      </c>
      <c r="E12" s="38">
        <f t="shared" si="1"/>
        <v>175281.85653575842</v>
      </c>
      <c r="F12" s="37">
        <f>+'🏦 Agregados CMF'!F12+'📊 Agregados DAES'!F11</f>
        <v>90726.023195999995</v>
      </c>
      <c r="G12" s="37">
        <f t="shared" si="2"/>
        <v>84555.833339758421</v>
      </c>
      <c r="H12" s="37">
        <f>+'📊 Agregados DAES'!H11+'🏦 Agregados CMF'!H12</f>
        <v>99740.251520999998</v>
      </c>
      <c r="I12" s="39">
        <f t="shared" si="3"/>
        <v>0.51760076592691395</v>
      </c>
      <c r="J12" s="40">
        <v>239556000</v>
      </c>
      <c r="K12" s="41">
        <f t="shared" si="4"/>
        <v>7.316947041015813E-2</v>
      </c>
    </row>
    <row r="13" spans="1:11" ht="16.95" customHeight="1" x14ac:dyDescent="0.3">
      <c r="A13" s="42">
        <v>2022</v>
      </c>
      <c r="B13" s="42">
        <f>+'📊 Agregados DAES'!B12+'🏦 Agregados CMF'!B13</f>
        <v>26</v>
      </c>
      <c r="C13" s="43">
        <f>+'🏦 Agregados CMF'!C13+'📊 Agregados DAES'!C12</f>
        <v>362119.98834899999</v>
      </c>
      <c r="D13" s="43">
        <f t="shared" si="0"/>
        <v>136736.50760058238</v>
      </c>
      <c r="E13" s="44">
        <f t="shared" si="1"/>
        <v>225383.48074841761</v>
      </c>
      <c r="F13" s="43">
        <f>+'🏦 Agregados CMF'!F13+'📊 Agregados DAES'!F12</f>
        <v>98747.171866000004</v>
      </c>
      <c r="G13" s="43">
        <f t="shared" si="2"/>
        <v>126636.30888241761</v>
      </c>
      <c r="H13" s="43">
        <f>+'📊 Agregados DAES'!H12+'🏦 Agregados CMF'!H13</f>
        <v>125549.157257</v>
      </c>
      <c r="I13" s="45">
        <f t="shared" si="3"/>
        <v>0.43812958934743623</v>
      </c>
      <c r="J13" s="46">
        <v>262954000</v>
      </c>
      <c r="K13" s="47">
        <f t="shared" si="4"/>
        <v>8.5712132444616784E-2</v>
      </c>
    </row>
    <row r="14" spans="1:11" ht="16.95" customHeight="1" x14ac:dyDescent="0.3">
      <c r="A14" s="36">
        <v>2023</v>
      </c>
      <c r="B14" s="36">
        <f>+'📊 Agregados DAES'!B13+'🏦 Agregados CMF'!B14</f>
        <v>29</v>
      </c>
      <c r="C14" s="37">
        <f>+'🏦 Agregados CMF'!C14+'📊 Agregados DAES'!C13</f>
        <v>385018.62676700001</v>
      </c>
      <c r="D14" s="37">
        <f t="shared" si="0"/>
        <v>145383.03346721921</v>
      </c>
      <c r="E14" s="38">
        <f t="shared" si="1"/>
        <v>239635.5932997808</v>
      </c>
      <c r="F14" s="37">
        <f>+'🏦 Agregados CMF'!F14+'📊 Agregados DAES'!F13</f>
        <v>105308.98442400001</v>
      </c>
      <c r="G14" s="37">
        <f t="shared" si="2"/>
        <v>134326.60887578077</v>
      </c>
      <c r="H14" s="37">
        <f>+'📊 Agregados DAES'!H13+'🏦 Agregados CMF'!H14</f>
        <v>94575.857908999998</v>
      </c>
      <c r="I14" s="39">
        <f t="shared" si="3"/>
        <v>0.43945468606685623</v>
      </c>
      <c r="J14" s="40">
        <v>282097000</v>
      </c>
      <c r="K14" s="41">
        <f t="shared" si="4"/>
        <v>8.4947941062748195E-2</v>
      </c>
    </row>
    <row r="15" spans="1:11" ht="16.95" customHeight="1" x14ac:dyDescent="0.3">
      <c r="A15" s="42">
        <v>2024</v>
      </c>
      <c r="B15" s="42">
        <f>+'📊 Agregados DAES'!B14+'🏦 Agregados CMF'!B15</f>
        <v>18</v>
      </c>
      <c r="C15" s="43">
        <f>+'🏦 Agregados CMF'!C15+'📊 Agregados DAES'!C14</f>
        <v>422873.86031100003</v>
      </c>
      <c r="D15" s="43">
        <f t="shared" si="0"/>
        <v>159677.16965343361</v>
      </c>
      <c r="E15" s="44">
        <f t="shared" si="1"/>
        <v>263196.69065756642</v>
      </c>
      <c r="F15" s="43">
        <f>+'🏦 Agregados CMF'!F15+'📊 Agregados DAES'!F14</f>
        <v>117579.447552</v>
      </c>
      <c r="G15" s="43">
        <f t="shared" si="2"/>
        <v>145617.24310556642</v>
      </c>
      <c r="H15" s="43">
        <f>+'📊 Agregados DAES'!H14+'🏦 Agregados CMF'!H15</f>
        <v>104220.72167</v>
      </c>
      <c r="I15" s="45">
        <f t="shared" si="3"/>
        <v>0.44673604086070146</v>
      </c>
      <c r="J15" s="46">
        <v>310681000</v>
      </c>
      <c r="K15" s="47">
        <f t="shared" si="4"/>
        <v>8.47160562305279E-2</v>
      </c>
    </row>
    <row r="16" spans="1:11" ht="16.95" customHeight="1" x14ac:dyDescent="0.3">
      <c r="A16" s="36">
        <v>2025</v>
      </c>
      <c r="B16" s="36">
        <f>+'📊 Agregados DAES'!B15+'🏦 Agregados CMF'!B16</f>
        <v>7</v>
      </c>
      <c r="C16" s="37">
        <f>+'🏦 Agregados CMF'!C16+'📊 Agregados DAES'!C15</f>
        <v>577398.58530100004</v>
      </c>
      <c r="D16" s="37">
        <f t="shared" si="0"/>
        <v>218025.70580965761</v>
      </c>
      <c r="E16" s="38">
        <f t="shared" si="1"/>
        <v>359372.87949134246</v>
      </c>
      <c r="F16" s="37">
        <f>+'🏦 Agregados CMF'!F16+'📊 Agregados DAES'!F15</f>
        <v>167736.10186699999</v>
      </c>
      <c r="G16" s="37">
        <f t="shared" si="2"/>
        <v>191636.77762434247</v>
      </c>
      <c r="H16" s="37">
        <f>+'📊 Agregados DAES'!H15+'🏦 Agregados CMF'!H16</f>
        <v>113142.244723</v>
      </c>
      <c r="I16" s="39">
        <f t="shared" si="3"/>
        <v>0.46674668969014638</v>
      </c>
      <c r="J16" s="40">
        <v>339978000</v>
      </c>
      <c r="K16" s="41">
        <f t="shared" si="4"/>
        <v>0.10570474545157113</v>
      </c>
    </row>
    <row r="17" spans="1:11" ht="19.95" customHeight="1" x14ac:dyDescent="0.3">
      <c r="A17" s="95" t="s">
        <v>36</v>
      </c>
      <c r="B17" s="78"/>
      <c r="C17" s="21">
        <f>+SUM(C4:C16)</f>
        <v>4145818.1706020003</v>
      </c>
      <c r="D17" s="21">
        <f t="shared" ref="D17:H17" si="5">+SUM(D4:D16)</f>
        <v>1565460.9412193154</v>
      </c>
      <c r="E17" s="21">
        <f t="shared" si="5"/>
        <v>2580357.2293826845</v>
      </c>
      <c r="F17" s="21">
        <f t="shared" si="5"/>
        <v>1170980.3037340003</v>
      </c>
      <c r="G17" s="21">
        <f t="shared" si="5"/>
        <v>1409376.9256486851</v>
      </c>
      <c r="H17" s="21">
        <f t="shared" si="5"/>
        <v>958982.28944600001</v>
      </c>
      <c r="I17" s="22" t="s">
        <v>37</v>
      </c>
      <c r="J17" s="22" t="s">
        <v>37</v>
      </c>
      <c r="K17" s="56"/>
    </row>
    <row r="20" spans="1:11" ht="17.399999999999999" x14ac:dyDescent="0.3">
      <c r="A20" s="91" t="s">
        <v>2020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x14ac:dyDescent="0.3">
      <c r="A21" s="90" t="s">
        <v>39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ht="27.6" x14ac:dyDescent="0.3">
      <c r="A22" s="20" t="s">
        <v>25</v>
      </c>
      <c r="B22" s="20" t="s">
        <v>26</v>
      </c>
      <c r="C22" s="20" t="s">
        <v>40</v>
      </c>
      <c r="D22" s="20" t="s">
        <v>41</v>
      </c>
      <c r="E22" s="20" t="s">
        <v>42</v>
      </c>
      <c r="F22" s="20" t="s">
        <v>43</v>
      </c>
      <c r="G22" s="20" t="s">
        <v>44</v>
      </c>
      <c r="H22" s="20" t="s">
        <v>45</v>
      </c>
    </row>
    <row r="23" spans="1:11" x14ac:dyDescent="0.3">
      <c r="A23" s="42">
        <v>2013</v>
      </c>
      <c r="B23" s="42">
        <f>+'🏦 Agregados CMF'!B24</f>
        <v>7</v>
      </c>
      <c r="C23" s="43">
        <f>+'🏦 Agregados CMF'!C24</f>
        <v>1434093.4</v>
      </c>
      <c r="D23" s="43">
        <f>+'🏦 Agregados CMF'!D24</f>
        <v>439510.7</v>
      </c>
      <c r="E23" s="43">
        <f>+'🏦 Agregados CMF'!E24</f>
        <v>709177.89999999991</v>
      </c>
      <c r="F23" s="43">
        <f>+'🏦 Agregados CMF'!F24</f>
        <v>1274441.1000000001</v>
      </c>
      <c r="G23" s="43">
        <f>+F23/C23</f>
        <v>0.88867370842094395</v>
      </c>
      <c r="H23" s="43">
        <f>+E23/C23</f>
        <v>0.49451304915007627</v>
      </c>
    </row>
    <row r="24" spans="1:11" x14ac:dyDescent="0.3">
      <c r="A24" s="36">
        <v>2014</v>
      </c>
      <c r="B24" s="36">
        <f>+'📊 Agregados DAES'!B20+'🏦 Agregados CMF'!B25</f>
        <v>9</v>
      </c>
      <c r="C24" s="37">
        <f>+'📊 Agregados DAES'!C20+'🏦 Agregados CMF'!C25</f>
        <v>1433274.5979339997</v>
      </c>
      <c r="D24" s="37">
        <f>+'📊 Agregados DAES'!D20+'🏦 Agregados CMF'!D25</f>
        <v>450855.22093300003</v>
      </c>
      <c r="E24" s="38">
        <f>+'📊 Agregados DAES'!E20+'🏦 Agregados CMF'!E25</f>
        <v>716197.52372200007</v>
      </c>
      <c r="F24" s="37">
        <f>+'📊 Agregados DAES'!F20+'🏦 Agregados CMF'!F25</f>
        <v>1267625.8511610001</v>
      </c>
      <c r="G24" s="57">
        <f t="shared" ref="G24:G35" si="6">+F24/C24</f>
        <v>0.88442637090493703</v>
      </c>
      <c r="H24" s="57">
        <f t="shared" ref="H24:H35" si="7">+E24/C24</f>
        <v>0.49969316748818843</v>
      </c>
    </row>
    <row r="25" spans="1:11" x14ac:dyDescent="0.3">
      <c r="A25" s="42">
        <v>2015</v>
      </c>
      <c r="B25" s="42">
        <f>+COUNTIF('📁 Panel CMF'!$D$3:$D$93,'🏦 Agregados CMF'!A25)</f>
        <v>7</v>
      </c>
      <c r="C25" s="43">
        <f>+'📊 Agregados DAES'!C21+'🏦 Agregados CMF'!C26</f>
        <v>1561464.3596620001</v>
      </c>
      <c r="D25" s="43">
        <f>+'📊 Agregados DAES'!D21+'🏦 Agregados CMF'!D26</f>
        <v>518169.31438999996</v>
      </c>
      <c r="E25" s="44">
        <f>+'📊 Agregados DAES'!E21+'🏦 Agregados CMF'!E26</f>
        <v>747250.56451100006</v>
      </c>
      <c r="F25" s="43">
        <f>+'📊 Agregados DAES'!F21+'🏦 Agregados CMF'!F26</f>
        <v>1354989.8898459997</v>
      </c>
      <c r="G25" s="58">
        <f t="shared" si="6"/>
        <v>0.86776869511085442</v>
      </c>
      <c r="H25" s="58">
        <f t="shared" si="7"/>
        <v>0.47855755393145988</v>
      </c>
    </row>
    <row r="26" spans="1:11" x14ac:dyDescent="0.3">
      <c r="A26" s="36">
        <v>2016</v>
      </c>
      <c r="B26" s="36">
        <f>+COUNTIF('📁 Panel CMF'!$D$3:$D$93,'🏦 Agregados CMF'!A26)</f>
        <v>7</v>
      </c>
      <c r="C26" s="37">
        <f>+'📊 Agregados DAES'!C22+'🏦 Agregados CMF'!C27</f>
        <v>1676817.681175</v>
      </c>
      <c r="D26" s="37">
        <f>+'📊 Agregados DAES'!D22+'🏦 Agregados CMF'!D27</f>
        <v>538454.00201300008</v>
      </c>
      <c r="E26" s="38">
        <f>+'📊 Agregados DAES'!E22+'🏦 Agregados CMF'!E27</f>
        <v>850229.56944200001</v>
      </c>
      <c r="F26" s="37">
        <f>+'📊 Agregados DAES'!F22+'🏦 Agregados CMF'!F27</f>
        <v>1424771.7831209998</v>
      </c>
      <c r="G26" s="57">
        <f t="shared" si="6"/>
        <v>0.84968795302934574</v>
      </c>
      <c r="H26" s="57">
        <f t="shared" si="7"/>
        <v>0.50704950155715012</v>
      </c>
    </row>
    <row r="27" spans="1:11" x14ac:dyDescent="0.3">
      <c r="A27" s="42">
        <v>2017</v>
      </c>
      <c r="B27" s="42">
        <f>+COUNTIF('📁 Panel CMF'!$D$3:$D$93,'🏦 Agregados CMF'!A27)</f>
        <v>7</v>
      </c>
      <c r="C27" s="43">
        <f>+'📊 Agregados DAES'!C23+'🏦 Agregados CMF'!C28</f>
        <v>1843430.6077320001</v>
      </c>
      <c r="D27" s="43">
        <f>+'📊 Agregados DAES'!D23+'🏦 Agregados CMF'!D28</f>
        <v>527343.12909199996</v>
      </c>
      <c r="E27" s="44">
        <f>+'📊 Agregados DAES'!E23+'🏦 Agregados CMF'!E28</f>
        <v>858659.33724400005</v>
      </c>
      <c r="F27" s="43">
        <f>+'📊 Agregados DAES'!F23+'🏦 Agregados CMF'!F28</f>
        <v>1578414.377666</v>
      </c>
      <c r="G27" s="58">
        <f t="shared" si="6"/>
        <v>0.85623747975409104</v>
      </c>
      <c r="H27" s="58">
        <f t="shared" si="7"/>
        <v>0.46579422824080224</v>
      </c>
    </row>
    <row r="28" spans="1:11" x14ac:dyDescent="0.3">
      <c r="A28" s="36">
        <v>2018</v>
      </c>
      <c r="B28" s="36">
        <f>+COUNTIF('📁 Panel CMF'!$D$3:$D$93,'🏦 Agregados CMF'!A28)</f>
        <v>7</v>
      </c>
      <c r="C28" s="37">
        <f>+'📊 Agregados DAES'!C24+'🏦 Agregados CMF'!C29</f>
        <v>2033489.6846779999</v>
      </c>
      <c r="D28" s="37">
        <f>+'📊 Agregados DAES'!D24+'🏦 Agregados CMF'!D29</f>
        <v>558139.34265300003</v>
      </c>
      <c r="E28" s="38">
        <f>+'📊 Agregados DAES'!E24+'🏦 Agregados CMF'!E29</f>
        <v>938557.89380099997</v>
      </c>
      <c r="F28" s="37">
        <f>+'📊 Agregados DAES'!F24+'🏦 Agregados CMF'!F29</f>
        <v>1699568.9397819999</v>
      </c>
      <c r="G28" s="57">
        <f t="shared" si="6"/>
        <v>0.835789309671922</v>
      </c>
      <c r="H28" s="57">
        <f t="shared" si="7"/>
        <v>0.46155035890905893</v>
      </c>
    </row>
    <row r="29" spans="1:11" x14ac:dyDescent="0.3">
      <c r="A29" s="42">
        <v>2019</v>
      </c>
      <c r="B29" s="42">
        <f>+COUNTIF('📁 Panel CMF'!$D$3:$D$93,'🏦 Agregados CMF'!A29)</f>
        <v>7</v>
      </c>
      <c r="C29" s="43">
        <f>+'📊 Agregados DAES'!C25+'🏦 Agregados CMF'!C30</f>
        <v>2229477.6701440001</v>
      </c>
      <c r="D29" s="43">
        <f>+'📊 Agregados DAES'!D25+'🏦 Agregados CMF'!D30</f>
        <v>591968.59738699999</v>
      </c>
      <c r="E29" s="44">
        <f>+'📊 Agregados DAES'!E25+'🏦 Agregados CMF'!E30</f>
        <v>1062063.07556</v>
      </c>
      <c r="F29" s="43">
        <f>+'📊 Agregados DAES'!F25+'🏦 Agregados CMF'!F30</f>
        <v>1840175.0515980001</v>
      </c>
      <c r="G29" s="58">
        <f t="shared" si="6"/>
        <v>0.8253839346501034</v>
      </c>
      <c r="H29" s="58">
        <f t="shared" si="7"/>
        <v>0.47637304907001032</v>
      </c>
    </row>
    <row r="30" spans="1:11" x14ac:dyDescent="0.3">
      <c r="A30" s="36">
        <v>2020</v>
      </c>
      <c r="B30" s="36">
        <f>+COUNTIF('📁 Panel CMF'!$D$3:$D$93,'🏦 Agregados CMF'!A30)</f>
        <v>7</v>
      </c>
      <c r="C30" s="37">
        <f>+'📊 Agregados DAES'!C26+'🏦 Agregados CMF'!C31</f>
        <v>2586910.7232840001</v>
      </c>
      <c r="D30" s="37">
        <f>+'📊 Agregados DAES'!D26+'🏦 Agregados CMF'!D31</f>
        <v>645841.68829900003</v>
      </c>
      <c r="E30" s="38">
        <f>+'📊 Agregados DAES'!E26+'🏦 Agregados CMF'!E31</f>
        <v>1357193.0562179999</v>
      </c>
      <c r="F30" s="37">
        <f>+'📊 Agregados DAES'!F26+'🏦 Agregados CMF'!F31</f>
        <v>1873316.0925060001</v>
      </c>
      <c r="G30" s="57">
        <f t="shared" si="6"/>
        <v>0.7241518138391283</v>
      </c>
      <c r="H30" s="57">
        <f t="shared" si="7"/>
        <v>0.52463853661524384</v>
      </c>
    </row>
    <row r="31" spans="1:11" x14ac:dyDescent="0.3">
      <c r="A31" s="42">
        <v>2021</v>
      </c>
      <c r="B31" s="42">
        <f>+COUNTIF('📁 Panel CMF'!$D$3:$D$93,'🏦 Agregados CMF'!A31)</f>
        <v>7</v>
      </c>
      <c r="C31" s="43">
        <f>+'📊 Agregados DAES'!C27+'🏦 Agregados CMF'!C32</f>
        <v>2886670.015352</v>
      </c>
      <c r="D31" s="43">
        <f>+'📊 Agregados DAES'!D27+'🏦 Agregados CMF'!D32</f>
        <v>687708.64327500004</v>
      </c>
      <c r="E31" s="44">
        <f>+'📊 Agregados DAES'!E27+'🏦 Agregados CMF'!E32</f>
        <v>1692111.459336</v>
      </c>
      <c r="F31" s="43">
        <f>+'📊 Agregados DAES'!F27+'🏦 Agregados CMF'!F32</f>
        <v>1955032.891568</v>
      </c>
      <c r="G31" s="58">
        <f t="shared" si="6"/>
        <v>0.67726234074926073</v>
      </c>
      <c r="H31" s="58">
        <f t="shared" si="7"/>
        <v>0.58618111884522561</v>
      </c>
    </row>
    <row r="32" spans="1:11" x14ac:dyDescent="0.3">
      <c r="A32" s="36">
        <v>2022</v>
      </c>
      <c r="B32" s="36">
        <f>+COUNTIF('📁 Panel CMF'!$D$3:$D$93,'🏦 Agregados CMF'!A32)</f>
        <v>7</v>
      </c>
      <c r="C32" s="37">
        <f>+'📊 Agregados DAES'!C28+'🏦 Agregados CMF'!C33</f>
        <v>3233454.6597790001</v>
      </c>
      <c r="D32" s="37">
        <f>+'📊 Agregados DAES'!D28+'🏦 Agregados CMF'!D33</f>
        <v>801186.42065800005</v>
      </c>
      <c r="E32" s="38">
        <f>+'📊 Agregados DAES'!E28+'🏦 Agregados CMF'!E33</f>
        <v>1885462.429916</v>
      </c>
      <c r="F32" s="37">
        <f>+'📊 Agregados DAES'!F28+'🏦 Agregados CMF'!F33</f>
        <v>2376704.2589210002</v>
      </c>
      <c r="G32" s="57">
        <f t="shared" si="6"/>
        <v>0.7350355916490392</v>
      </c>
      <c r="H32" s="57">
        <f t="shared" si="7"/>
        <v>0.58311082984069662</v>
      </c>
    </row>
    <row r="33" spans="1:8" x14ac:dyDescent="0.3">
      <c r="A33" s="42">
        <v>2023</v>
      </c>
      <c r="B33" s="42">
        <f>+COUNTIF('📁 Panel CMF'!$D$3:$D$93,'🏦 Agregados CMF'!A33)</f>
        <v>7</v>
      </c>
      <c r="C33" s="43">
        <f>+'📊 Agregados DAES'!C29+'🏦 Agregados CMF'!C34</f>
        <v>3736816.330695</v>
      </c>
      <c r="D33" s="43">
        <f>+'📊 Agregados DAES'!D29+'🏦 Agregados CMF'!D34</f>
        <v>852393.96229599998</v>
      </c>
      <c r="E33" s="44">
        <f>+'📊 Agregados DAES'!E29+'🏦 Agregados CMF'!E34</f>
        <v>2314442.147539</v>
      </c>
      <c r="F33" s="43">
        <f>+'📊 Agregados DAES'!F29+'🏦 Agregados CMF'!F34</f>
        <v>2823975.276939</v>
      </c>
      <c r="G33" s="58">
        <f t="shared" si="6"/>
        <v>0.75571690632538435</v>
      </c>
      <c r="H33" s="58">
        <f t="shared" si="7"/>
        <v>0.6193620297919602</v>
      </c>
    </row>
    <row r="34" spans="1:8" x14ac:dyDescent="0.3">
      <c r="A34" s="36">
        <v>2024</v>
      </c>
      <c r="B34" s="36">
        <f>+COUNTIF('📁 Panel CMF'!$D$3:$D$93,'🏦 Agregados CMF'!A34)</f>
        <v>7</v>
      </c>
      <c r="C34" s="37">
        <f>+'📊 Agregados DAES'!C30+'🏦 Agregados CMF'!C35</f>
        <v>4164706.6973649999</v>
      </c>
      <c r="D34" s="37">
        <f>+'📊 Agregados DAES'!D30+'🏦 Agregados CMF'!D35</f>
        <v>906843.96091100003</v>
      </c>
      <c r="E34" s="38">
        <f>+'📊 Agregados DAES'!E30+'🏦 Agregados CMF'!E35</f>
        <v>2596172.9031529999</v>
      </c>
      <c r="F34" s="37">
        <f>+'📊 Agregados DAES'!F30+'🏦 Agregados CMF'!F35</f>
        <v>3123457.0276810001</v>
      </c>
      <c r="G34" s="57">
        <f t="shared" si="6"/>
        <v>0.74998247287310871</v>
      </c>
      <c r="H34" s="57">
        <f t="shared" si="7"/>
        <v>0.62337472763582424</v>
      </c>
    </row>
    <row r="35" spans="1:8" x14ac:dyDescent="0.3">
      <c r="A35" s="42">
        <v>2025</v>
      </c>
      <c r="B35" s="42">
        <f>+COUNTIF('📁 Panel CMF'!$D$3:$D$93,'🏦 Agregados CMF'!A35)</f>
        <v>7</v>
      </c>
      <c r="C35" s="43">
        <f>+'🏦 Agregados CMF'!C36</f>
        <v>4481909</v>
      </c>
      <c r="D35" s="43">
        <f>+'🏦 Agregados CMF'!D36</f>
        <v>915240</v>
      </c>
      <c r="E35" s="44">
        <f>+'🏦 Agregados CMF'!E36</f>
        <v>2761339</v>
      </c>
      <c r="F35" s="43">
        <f>+'🏦 Agregados CMF'!F36</f>
        <v>3369182</v>
      </c>
      <c r="G35" s="58">
        <f t="shared" si="6"/>
        <v>0.75172922966530553</v>
      </c>
      <c r="H35" s="58">
        <f t="shared" si="7"/>
        <v>0.61610777907360459</v>
      </c>
    </row>
    <row r="36" spans="1:8" x14ac:dyDescent="0.3">
      <c r="A36" s="88" t="s">
        <v>36</v>
      </c>
      <c r="B36" s="89"/>
      <c r="C36" s="21">
        <f>+SUM(C23:C35)</f>
        <v>33302515.427800003</v>
      </c>
      <c r="D36" s="21">
        <f t="shared" ref="D36:F36" si="8">+SUM(D23:D35)</f>
        <v>8433654.9819069989</v>
      </c>
      <c r="E36" s="21">
        <f t="shared" si="8"/>
        <v>18488856.860441998</v>
      </c>
      <c r="F36" s="21">
        <f t="shared" si="8"/>
        <v>25961654.540789001</v>
      </c>
      <c r="G36" s="21" t="s">
        <v>37</v>
      </c>
      <c r="H36" s="21" t="s">
        <v>37</v>
      </c>
    </row>
  </sheetData>
  <mergeCells count="6">
    <mergeCell ref="A36:B36"/>
    <mergeCell ref="A1:K1"/>
    <mergeCell ref="A2:K2"/>
    <mergeCell ref="A17:B17"/>
    <mergeCell ref="A20:K20"/>
    <mergeCell ref="A21:K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2E5FA3"/>
  </sheetPr>
  <dimension ref="A1:P136"/>
  <sheetViews>
    <sheetView zoomScale="90" workbookViewId="0">
      <pane ySplit="2" topLeftCell="A61" activePane="bottomLeft" state="frozen"/>
      <selection pane="bottomLeft" activeCell="B61" sqref="B61"/>
    </sheetView>
  </sheetViews>
  <sheetFormatPr baseColWidth="10" defaultColWidth="8.88671875" defaultRowHeight="14.4" x14ac:dyDescent="0.3"/>
  <cols>
    <col min="1" max="1" width="12" customWidth="1"/>
    <col min="2" max="2" width="38" customWidth="1"/>
    <col min="3" max="3" width="14" customWidth="1"/>
    <col min="4" max="4" width="6" customWidth="1"/>
    <col min="5" max="14" width="14" customWidth="1"/>
    <col min="15" max="15" width="18" customWidth="1"/>
    <col min="16" max="16" width="14" customWidth="1"/>
  </cols>
  <sheetData>
    <row r="1" spans="1:16" ht="28.05" customHeight="1" x14ac:dyDescent="0.3">
      <c r="A1" s="80" t="s">
        <v>56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6" ht="30" customHeight="1" x14ac:dyDescent="0.3">
      <c r="A2" s="25" t="s">
        <v>57</v>
      </c>
      <c r="B2" s="25" t="s">
        <v>47</v>
      </c>
      <c r="C2" s="25" t="s">
        <v>48</v>
      </c>
      <c r="D2" s="25" t="s">
        <v>25</v>
      </c>
      <c r="E2" s="25" t="s">
        <v>27</v>
      </c>
      <c r="F2" s="25" t="s">
        <v>28</v>
      </c>
      <c r="G2" s="25" t="s">
        <v>29</v>
      </c>
      <c r="H2" s="25" t="s">
        <v>30</v>
      </c>
      <c r="I2" s="25" t="s">
        <v>31</v>
      </c>
      <c r="J2" s="25" t="s">
        <v>32</v>
      </c>
      <c r="K2" s="25" t="s">
        <v>40</v>
      </c>
      <c r="L2" s="25" t="s">
        <v>41</v>
      </c>
      <c r="M2" s="25" t="s">
        <v>58</v>
      </c>
      <c r="N2" s="25" t="s">
        <v>59</v>
      </c>
      <c r="O2" s="25" t="s">
        <v>60</v>
      </c>
      <c r="P2" s="25" t="s">
        <v>35</v>
      </c>
    </row>
    <row r="3" spans="1:16" ht="15" hidden="1" customHeight="1" x14ac:dyDescent="0.3">
      <c r="A3" s="30" t="s">
        <v>61</v>
      </c>
      <c r="B3" s="23" t="s">
        <v>107</v>
      </c>
      <c r="C3" s="24" t="s">
        <v>108</v>
      </c>
      <c r="D3" s="10">
        <v>2020</v>
      </c>
      <c r="E3" s="11">
        <v>1261.9173949999999</v>
      </c>
      <c r="F3" s="11">
        <f>0.3776*E3</f>
        <v>476.50000835199995</v>
      </c>
      <c r="G3" s="12">
        <f>+E3-F3</f>
        <v>785.41738664800005</v>
      </c>
      <c r="H3" s="11">
        <v>644.208842</v>
      </c>
      <c r="I3" s="11">
        <f>+G3-H3</f>
        <v>141.20854464800004</v>
      </c>
      <c r="J3" s="11">
        <v>-311.96317499999998</v>
      </c>
      <c r="K3" s="11">
        <v>12536.769603999999</v>
      </c>
      <c r="L3" s="11">
        <v>6030.0445460000001</v>
      </c>
      <c r="M3" s="11">
        <v>6454.2872619999998</v>
      </c>
      <c r="N3" s="12">
        <v>4893.867902</v>
      </c>
      <c r="O3" s="14">
        <v>201307000</v>
      </c>
      <c r="P3" s="31">
        <f>+(G3/O3)*100</f>
        <v>3.9015900423134818E-4</v>
      </c>
    </row>
    <row r="4" spans="1:16" ht="15" hidden="1" customHeight="1" x14ac:dyDescent="0.3">
      <c r="A4" s="26" t="s">
        <v>61</v>
      </c>
      <c r="B4" s="27" t="s">
        <v>107</v>
      </c>
      <c r="C4" s="28" t="s">
        <v>108</v>
      </c>
      <c r="D4" s="4">
        <v>2022</v>
      </c>
      <c r="E4" s="5">
        <v>1688.654589</v>
      </c>
      <c r="F4" s="5">
        <f t="shared" ref="F4:F67" si="0">0.3776*E4</f>
        <v>637.63597280639999</v>
      </c>
      <c r="G4" s="6">
        <f t="shared" ref="G4:G67" si="1">+E4-F4</f>
        <v>1051.0186161935999</v>
      </c>
      <c r="H4" s="5">
        <v>697.54668400000003</v>
      </c>
      <c r="I4" s="5">
        <f>+G4-H4</f>
        <v>353.47193219359986</v>
      </c>
      <c r="J4" s="5">
        <v>-637.84620299999995</v>
      </c>
      <c r="K4" s="5"/>
      <c r="L4" s="5"/>
      <c r="M4" s="5"/>
      <c r="N4" s="6"/>
      <c r="O4" s="8">
        <v>262954000</v>
      </c>
      <c r="P4" s="29">
        <f t="shared" ref="P4:P67" si="2">+(G4/O4)*100</f>
        <v>3.9969675920259814E-4</v>
      </c>
    </row>
    <row r="5" spans="1:16" ht="15" hidden="1" customHeight="1" x14ac:dyDescent="0.3">
      <c r="A5" s="26" t="s">
        <v>61</v>
      </c>
      <c r="B5" s="27" t="s">
        <v>107</v>
      </c>
      <c r="C5" s="28" t="s">
        <v>108</v>
      </c>
      <c r="D5" s="4">
        <v>2023</v>
      </c>
      <c r="E5" s="5">
        <v>1972.140318</v>
      </c>
      <c r="F5" s="5">
        <f t="shared" si="0"/>
        <v>744.68018407679995</v>
      </c>
      <c r="G5" s="6">
        <f t="shared" si="1"/>
        <v>1227.4601339231999</v>
      </c>
      <c r="H5" s="5">
        <v>774.03059099999996</v>
      </c>
      <c r="I5" s="5">
        <f t="shared" ref="I5:I67" si="3">+G5-H5</f>
        <v>453.42954292319996</v>
      </c>
      <c r="J5" s="5">
        <v>-144.99542400000001</v>
      </c>
      <c r="K5" s="5"/>
      <c r="L5" s="5"/>
      <c r="M5" s="5"/>
      <c r="N5" s="6"/>
      <c r="O5" s="8">
        <v>282097000</v>
      </c>
      <c r="P5" s="29">
        <f t="shared" si="2"/>
        <v>4.3511988214096561E-4</v>
      </c>
    </row>
    <row r="6" spans="1:16" ht="15" customHeight="1" x14ac:dyDescent="0.3">
      <c r="A6" s="26" t="s">
        <v>61</v>
      </c>
      <c r="B6" s="27" t="s">
        <v>107</v>
      </c>
      <c r="C6" s="28" t="s">
        <v>108</v>
      </c>
      <c r="D6" s="4">
        <v>2024</v>
      </c>
      <c r="E6" s="5">
        <v>1682.2218519999999</v>
      </c>
      <c r="F6" s="5">
        <f t="shared" si="0"/>
        <v>635.20697131519989</v>
      </c>
      <c r="G6" s="6">
        <f>+E6-F6</f>
        <v>1047.0148806848001</v>
      </c>
      <c r="H6" s="5">
        <v>788.54711199999997</v>
      </c>
      <c r="I6" s="5">
        <f>+G6-H6</f>
        <v>258.46776868480015</v>
      </c>
      <c r="J6" s="5">
        <v>165.01094699999999</v>
      </c>
      <c r="K6" s="5">
        <v>10789.78153</v>
      </c>
      <c r="L6" s="5">
        <v>6508.766783</v>
      </c>
      <c r="M6" s="5">
        <v>4150.5813159999998</v>
      </c>
      <c r="N6" s="6">
        <v>6057.2619649999997</v>
      </c>
      <c r="O6" s="8">
        <v>310681000</v>
      </c>
      <c r="P6" s="29">
        <f t="shared" si="2"/>
        <v>3.3700640872303105E-4</v>
      </c>
    </row>
    <row r="7" spans="1:16" ht="15" hidden="1" customHeight="1" x14ac:dyDescent="0.3">
      <c r="A7" s="30" t="s">
        <v>61</v>
      </c>
      <c r="B7" s="23" t="s">
        <v>2018</v>
      </c>
      <c r="C7" s="24" t="s">
        <v>54</v>
      </c>
      <c r="D7" s="10">
        <v>2016</v>
      </c>
      <c r="E7" s="11">
        <v>3715.668447</v>
      </c>
      <c r="F7" s="11">
        <f t="shared" si="0"/>
        <v>1403.0364055872001</v>
      </c>
      <c r="G7" s="12">
        <f t="shared" si="1"/>
        <v>2312.6320414127999</v>
      </c>
      <c r="H7" s="11">
        <v>1094.662491</v>
      </c>
      <c r="I7" s="11">
        <f t="shared" si="3"/>
        <v>1217.9695504127999</v>
      </c>
      <c r="J7" s="11">
        <v>244.33893399999999</v>
      </c>
      <c r="K7" s="11"/>
      <c r="L7" s="11"/>
      <c r="M7" s="11"/>
      <c r="N7" s="12"/>
      <c r="O7" s="14">
        <v>168765000</v>
      </c>
      <c r="P7" s="31">
        <f t="shared" si="2"/>
        <v>1.3703268103059283E-3</v>
      </c>
    </row>
    <row r="8" spans="1:16" ht="15" hidden="1" customHeight="1" x14ac:dyDescent="0.3">
      <c r="A8" s="30" t="s">
        <v>61</v>
      </c>
      <c r="B8" s="23" t="s">
        <v>123</v>
      </c>
      <c r="C8" s="24" t="s">
        <v>124</v>
      </c>
      <c r="D8" s="10">
        <v>2023</v>
      </c>
      <c r="E8" s="11">
        <v>526.98993499999995</v>
      </c>
      <c r="F8" s="11">
        <f t="shared" si="0"/>
        <v>198.99139945599998</v>
      </c>
      <c r="G8" s="12">
        <f t="shared" si="1"/>
        <v>327.99853554399999</v>
      </c>
      <c r="H8" s="11"/>
      <c r="I8" s="11">
        <f t="shared" si="3"/>
        <v>327.99853554399999</v>
      </c>
      <c r="J8" s="11">
        <v>273.25852099999997</v>
      </c>
      <c r="K8" s="11">
        <v>3202.3397909999999</v>
      </c>
      <c r="L8" s="11">
        <v>3126.2303459999998</v>
      </c>
      <c r="M8" s="11"/>
      <c r="N8" s="12">
        <v>2556.5310039999999</v>
      </c>
      <c r="O8" s="14">
        <v>282097000</v>
      </c>
      <c r="P8" s="31">
        <f t="shared" si="2"/>
        <v>1.1627154331453365E-4</v>
      </c>
    </row>
    <row r="9" spans="1:16" ht="15" customHeight="1" x14ac:dyDescent="0.3">
      <c r="A9" s="30" t="s">
        <v>61</v>
      </c>
      <c r="B9" s="23" t="s">
        <v>123</v>
      </c>
      <c r="C9" s="24" t="s">
        <v>124</v>
      </c>
      <c r="D9" s="10">
        <v>2024</v>
      </c>
      <c r="E9" s="11">
        <v>606.99091699999997</v>
      </c>
      <c r="F9" s="11">
        <f t="shared" si="0"/>
        <v>229.19977025919999</v>
      </c>
      <c r="G9" s="12">
        <f t="shared" si="1"/>
        <v>377.79114674079995</v>
      </c>
      <c r="H9" s="11"/>
      <c r="I9" s="11">
        <f t="shared" si="3"/>
        <v>377.79114674079995</v>
      </c>
      <c r="J9" s="11">
        <v>312.943377</v>
      </c>
      <c r="K9" s="11">
        <v>3413.6620590000002</v>
      </c>
      <c r="L9" s="11">
        <v>3347.505541</v>
      </c>
      <c r="M9" s="11"/>
      <c r="N9" s="12">
        <v>2672.8640049999999</v>
      </c>
      <c r="O9" s="14">
        <v>310681000</v>
      </c>
      <c r="P9" s="31">
        <f t="shared" si="2"/>
        <v>1.2160098195280687E-4</v>
      </c>
    </row>
    <row r="10" spans="1:16" ht="15" hidden="1" customHeight="1" x14ac:dyDescent="0.3">
      <c r="A10" s="26" t="s">
        <v>61</v>
      </c>
      <c r="B10" s="27" t="s">
        <v>75</v>
      </c>
      <c r="C10" s="28" t="s">
        <v>76</v>
      </c>
      <c r="D10" s="4">
        <v>2016</v>
      </c>
      <c r="E10" s="5">
        <v>186.92498800000001</v>
      </c>
      <c r="F10" s="5">
        <f t="shared" si="0"/>
        <v>70.582875468799998</v>
      </c>
      <c r="G10" s="6">
        <f t="shared" si="1"/>
        <v>116.34211253120002</v>
      </c>
      <c r="H10" s="5">
        <v>114.67537299999999</v>
      </c>
      <c r="I10" s="5">
        <f t="shared" si="3"/>
        <v>1.6667395312000224</v>
      </c>
      <c r="J10" s="5">
        <v>11.741258</v>
      </c>
      <c r="K10" s="5">
        <v>835.29859399999998</v>
      </c>
      <c r="L10" s="5">
        <v>637.39626899999996</v>
      </c>
      <c r="M10" s="5">
        <v>194.09069</v>
      </c>
      <c r="N10" s="6">
        <v>604.02813400000002</v>
      </c>
      <c r="O10" s="8">
        <v>168765000</v>
      </c>
      <c r="P10" s="29">
        <f t="shared" si="2"/>
        <v>6.8937346328444893E-5</v>
      </c>
    </row>
    <row r="11" spans="1:16" ht="15" hidden="1" customHeight="1" x14ac:dyDescent="0.3">
      <c r="A11" s="30" t="s">
        <v>61</v>
      </c>
      <c r="B11" s="23" t="s">
        <v>75</v>
      </c>
      <c r="C11" s="24" t="s">
        <v>76</v>
      </c>
      <c r="D11" s="10">
        <v>2017</v>
      </c>
      <c r="E11" s="11">
        <v>200.52856199999999</v>
      </c>
      <c r="F11" s="11">
        <f t="shared" si="0"/>
        <v>75.719585011199996</v>
      </c>
      <c r="G11" s="12">
        <f t="shared" si="1"/>
        <v>124.8089769888</v>
      </c>
      <c r="H11" s="11">
        <v>125.48039799999999</v>
      </c>
      <c r="I11" s="11">
        <f t="shared" si="3"/>
        <v>-0.67142101119999609</v>
      </c>
      <c r="J11" s="11">
        <v>15.889036000000001</v>
      </c>
      <c r="K11" s="11">
        <v>897.25446399999998</v>
      </c>
      <c r="L11" s="11">
        <v>671.75858800000003</v>
      </c>
      <c r="M11" s="11">
        <v>219.719582</v>
      </c>
      <c r="N11" s="12">
        <v>672.72419100000002</v>
      </c>
      <c r="O11" s="14">
        <v>179315000</v>
      </c>
      <c r="P11" s="31">
        <f t="shared" si="2"/>
        <v>6.960319939146195E-5</v>
      </c>
    </row>
    <row r="12" spans="1:16" ht="15" hidden="1" customHeight="1" x14ac:dyDescent="0.3">
      <c r="A12" s="30" t="s">
        <v>61</v>
      </c>
      <c r="B12" s="23" t="s">
        <v>75</v>
      </c>
      <c r="C12" s="24" t="s">
        <v>76</v>
      </c>
      <c r="D12" s="10">
        <v>2018</v>
      </c>
      <c r="E12" s="11">
        <v>204.64546000000001</v>
      </c>
      <c r="F12" s="11">
        <f t="shared" si="0"/>
        <v>77.274125695999999</v>
      </c>
      <c r="G12" s="12">
        <f t="shared" si="1"/>
        <v>127.37133430400002</v>
      </c>
      <c r="H12" s="11">
        <v>129.358632</v>
      </c>
      <c r="I12" s="11">
        <f t="shared" si="3"/>
        <v>-1.9872976959999846</v>
      </c>
      <c r="J12" s="11">
        <v>8.7676049999999996</v>
      </c>
      <c r="K12" s="11">
        <v>935.71579999999994</v>
      </c>
      <c r="L12" s="11">
        <v>680.78946900000005</v>
      </c>
      <c r="M12" s="11">
        <v>251.15993800000001</v>
      </c>
      <c r="N12" s="12">
        <v>706.55119300000001</v>
      </c>
      <c r="O12" s="14">
        <v>189435000</v>
      </c>
      <c r="P12" s="31">
        <f t="shared" si="2"/>
        <v>6.7237487425238213E-5</v>
      </c>
    </row>
    <row r="13" spans="1:16" ht="15" hidden="1" customHeight="1" x14ac:dyDescent="0.3">
      <c r="A13" s="26" t="s">
        <v>61</v>
      </c>
      <c r="B13" s="27" t="s">
        <v>109</v>
      </c>
      <c r="C13" s="28" t="s">
        <v>110</v>
      </c>
      <c r="D13" s="4">
        <v>2020</v>
      </c>
      <c r="E13" s="5">
        <v>324.92926499999999</v>
      </c>
      <c r="F13" s="5">
        <f t="shared" si="0"/>
        <v>122.69329046399999</v>
      </c>
      <c r="G13" s="6">
        <f t="shared" si="1"/>
        <v>202.23597453600001</v>
      </c>
      <c r="H13" s="5">
        <v>72.299850000000006</v>
      </c>
      <c r="I13" s="5">
        <f t="shared" si="3"/>
        <v>129.93612453600002</v>
      </c>
      <c r="J13" s="5">
        <v>116.58819200000001</v>
      </c>
      <c r="K13" s="5">
        <v>2690.7595809999998</v>
      </c>
      <c r="L13" s="5">
        <v>1607.4386810000001</v>
      </c>
      <c r="M13" s="5">
        <v>982.23502399999995</v>
      </c>
      <c r="N13" s="6">
        <v>1532.504823</v>
      </c>
      <c r="O13" s="8">
        <v>201307000</v>
      </c>
      <c r="P13" s="29">
        <f t="shared" si="2"/>
        <v>1.0046147155141154E-4</v>
      </c>
    </row>
    <row r="14" spans="1:16" ht="15" hidden="1" customHeight="1" x14ac:dyDescent="0.3">
      <c r="A14" s="30" t="s">
        <v>61</v>
      </c>
      <c r="B14" s="23" t="s">
        <v>109</v>
      </c>
      <c r="C14" s="24" t="s">
        <v>110</v>
      </c>
      <c r="D14" s="10">
        <v>2021</v>
      </c>
      <c r="E14" s="11">
        <v>293.79416700000002</v>
      </c>
      <c r="F14" s="11">
        <f t="shared" si="0"/>
        <v>110.9366774592</v>
      </c>
      <c r="G14" s="12">
        <f t="shared" si="1"/>
        <v>182.85748954080003</v>
      </c>
      <c r="H14" s="11">
        <v>73.823908000000003</v>
      </c>
      <c r="I14" s="11">
        <f t="shared" si="3"/>
        <v>109.03358154080003</v>
      </c>
      <c r="J14" s="11">
        <v>6.1588149999999997</v>
      </c>
      <c r="K14" s="11">
        <v>3268.7476820000002</v>
      </c>
      <c r="L14" s="11">
        <v>1681.1529089999999</v>
      </c>
      <c r="M14" s="11">
        <v>1498.3962389999999</v>
      </c>
      <c r="N14" s="12">
        <v>1187.012956</v>
      </c>
      <c r="O14" s="14">
        <v>239556000</v>
      </c>
      <c r="P14" s="31">
        <f t="shared" si="2"/>
        <v>7.6331834535891413E-5</v>
      </c>
    </row>
    <row r="15" spans="1:16" ht="15" hidden="1" customHeight="1" x14ac:dyDescent="0.3">
      <c r="A15" s="26" t="s">
        <v>61</v>
      </c>
      <c r="B15" s="27" t="s">
        <v>109</v>
      </c>
      <c r="C15" s="28" t="s">
        <v>110</v>
      </c>
      <c r="D15" s="4">
        <v>2022</v>
      </c>
      <c r="E15" s="5">
        <v>349.90695899999997</v>
      </c>
      <c r="F15" s="5">
        <f t="shared" si="0"/>
        <v>132.1248677184</v>
      </c>
      <c r="G15" s="6">
        <f t="shared" si="1"/>
        <v>217.78209128159997</v>
      </c>
      <c r="H15" s="5">
        <v>103.49862</v>
      </c>
      <c r="I15" s="5">
        <f t="shared" si="3"/>
        <v>114.28347128159997</v>
      </c>
      <c r="J15" s="5">
        <v>-28.267171999999999</v>
      </c>
      <c r="K15" s="5">
        <v>2819.4288459999998</v>
      </c>
      <c r="L15" s="5">
        <v>1879.5436790000001</v>
      </c>
      <c r="M15" s="5">
        <v>860.00942499999996</v>
      </c>
      <c r="N15" s="6">
        <v>1929.459241</v>
      </c>
      <c r="O15" s="8">
        <v>262954000</v>
      </c>
      <c r="P15" s="29">
        <f t="shared" si="2"/>
        <v>8.2821364680362336E-5</v>
      </c>
    </row>
    <row r="16" spans="1:16" ht="15" hidden="1" customHeight="1" x14ac:dyDescent="0.3">
      <c r="A16" s="30" t="s">
        <v>61</v>
      </c>
      <c r="B16" s="23" t="s">
        <v>109</v>
      </c>
      <c r="C16" s="24" t="s">
        <v>110</v>
      </c>
      <c r="D16" s="10">
        <v>2022</v>
      </c>
      <c r="E16" s="11">
        <v>366.702493</v>
      </c>
      <c r="F16" s="11">
        <f t="shared" si="0"/>
        <v>138.4668613568</v>
      </c>
      <c r="G16" s="12">
        <f t="shared" si="1"/>
        <v>228.23563164320001</v>
      </c>
      <c r="H16" s="11">
        <v>108.466554</v>
      </c>
      <c r="I16" s="11">
        <f t="shared" si="3"/>
        <v>119.76907764320001</v>
      </c>
      <c r="J16" s="11">
        <v>-29.623996000000002</v>
      </c>
      <c r="K16" s="11">
        <v>2819.4288459999998</v>
      </c>
      <c r="L16" s="11">
        <v>1879.5436790000001</v>
      </c>
      <c r="M16" s="11">
        <v>860.00942499999996</v>
      </c>
      <c r="N16" s="12">
        <v>1929.459241</v>
      </c>
      <c r="O16" s="14">
        <v>262954000</v>
      </c>
      <c r="P16" s="31">
        <f t="shared" si="2"/>
        <v>8.6796790177445489E-5</v>
      </c>
    </row>
    <row r="17" spans="1:16" ht="15" hidden="1" customHeight="1" x14ac:dyDescent="0.3">
      <c r="A17" s="30" t="s">
        <v>61</v>
      </c>
      <c r="B17" s="23" t="s">
        <v>109</v>
      </c>
      <c r="C17" s="24" t="s">
        <v>110</v>
      </c>
      <c r="D17" s="10">
        <v>2023</v>
      </c>
      <c r="E17" s="11">
        <v>401.28502300000002</v>
      </c>
      <c r="F17" s="11">
        <f t="shared" si="0"/>
        <v>151.52522468480001</v>
      </c>
      <c r="G17" s="12">
        <f t="shared" si="1"/>
        <v>249.75979831520002</v>
      </c>
      <c r="H17" s="11">
        <v>133.80551199999999</v>
      </c>
      <c r="I17" s="11">
        <f t="shared" si="3"/>
        <v>115.95428631520002</v>
      </c>
      <c r="J17" s="11">
        <v>57.804791999999999</v>
      </c>
      <c r="K17" s="11"/>
      <c r="L17" s="11"/>
      <c r="M17" s="11"/>
      <c r="N17" s="12"/>
      <c r="O17" s="14">
        <v>282097000</v>
      </c>
      <c r="P17" s="31">
        <f t="shared" si="2"/>
        <v>8.8536850202306297E-5</v>
      </c>
    </row>
    <row r="18" spans="1:16" ht="15" customHeight="1" x14ac:dyDescent="0.3">
      <c r="A18" s="30" t="s">
        <v>61</v>
      </c>
      <c r="B18" s="23" t="s">
        <v>109</v>
      </c>
      <c r="C18" s="24" t="s">
        <v>110</v>
      </c>
      <c r="D18" s="10">
        <v>2024</v>
      </c>
      <c r="E18" s="11">
        <v>418.51746400000002</v>
      </c>
      <c r="F18" s="11">
        <f t="shared" si="0"/>
        <v>158.03219440640001</v>
      </c>
      <c r="G18" s="12">
        <f t="shared" si="1"/>
        <v>260.48526959360004</v>
      </c>
      <c r="H18" s="11">
        <v>133.17659699999999</v>
      </c>
      <c r="I18" s="11">
        <f t="shared" si="3"/>
        <v>127.30867259360005</v>
      </c>
      <c r="J18" s="11">
        <v>53.358415000000001</v>
      </c>
      <c r="K18" s="11">
        <v>2970.0909929999998</v>
      </c>
      <c r="L18" s="11">
        <v>2139.1694670000002</v>
      </c>
      <c r="M18" s="11">
        <v>783.46419300000002</v>
      </c>
      <c r="N18" s="12">
        <v>1961.4377179999999</v>
      </c>
      <c r="O18" s="14">
        <v>310681000</v>
      </c>
      <c r="P18" s="31">
        <f t="shared" si="2"/>
        <v>8.3843321475597177E-5</v>
      </c>
    </row>
    <row r="19" spans="1:16" ht="15" hidden="1" customHeight="1" x14ac:dyDescent="0.3">
      <c r="A19" s="26" t="s">
        <v>61</v>
      </c>
      <c r="B19" s="27" t="s">
        <v>117</v>
      </c>
      <c r="C19" s="28" t="s">
        <v>118</v>
      </c>
      <c r="D19" s="4">
        <v>2021</v>
      </c>
      <c r="E19" s="5">
        <v>1.694809</v>
      </c>
      <c r="F19" s="5">
        <f t="shared" si="0"/>
        <v>0.63995987840000002</v>
      </c>
      <c r="G19" s="6">
        <f t="shared" si="1"/>
        <v>1.0548491216</v>
      </c>
      <c r="H19" s="5"/>
      <c r="I19" s="5">
        <f t="shared" si="3"/>
        <v>1.0548491216</v>
      </c>
      <c r="J19" s="5">
        <v>-0.213368</v>
      </c>
      <c r="K19" s="5"/>
      <c r="L19" s="5"/>
      <c r="M19" s="5"/>
      <c r="N19" s="6"/>
      <c r="O19" s="8">
        <v>239556000</v>
      </c>
      <c r="P19" s="29">
        <f t="shared" si="2"/>
        <v>4.4033508724473609E-7</v>
      </c>
    </row>
    <row r="20" spans="1:16" ht="15" hidden="1" customHeight="1" x14ac:dyDescent="0.3">
      <c r="A20" s="26" t="s">
        <v>61</v>
      </c>
      <c r="B20" s="27" t="s">
        <v>117</v>
      </c>
      <c r="C20" s="28" t="s">
        <v>118</v>
      </c>
      <c r="D20" s="4">
        <v>2022</v>
      </c>
      <c r="E20" s="5">
        <v>2.9230900000000002</v>
      </c>
      <c r="F20" s="5">
        <f t="shared" si="0"/>
        <v>1.103758784</v>
      </c>
      <c r="G20" s="6">
        <f t="shared" si="1"/>
        <v>1.8193312160000001</v>
      </c>
      <c r="H20" s="5">
        <v>1.2826610000000001</v>
      </c>
      <c r="I20" s="5">
        <f t="shared" si="3"/>
        <v>0.53667021600000009</v>
      </c>
      <c r="J20" s="5">
        <v>-0.39441199999999998</v>
      </c>
      <c r="K20" s="5">
        <v>17.197673999999999</v>
      </c>
      <c r="L20" s="5">
        <v>1.71025</v>
      </c>
      <c r="M20" s="5">
        <v>13.332883000000001</v>
      </c>
      <c r="N20" s="6">
        <v>11.047155</v>
      </c>
      <c r="O20" s="8">
        <v>262954000</v>
      </c>
      <c r="P20" s="29">
        <f t="shared" si="2"/>
        <v>6.9188193220106952E-7</v>
      </c>
    </row>
    <row r="21" spans="1:16" ht="15" hidden="1" customHeight="1" x14ac:dyDescent="0.3">
      <c r="A21" s="26" t="s">
        <v>61</v>
      </c>
      <c r="B21" s="27" t="s">
        <v>117</v>
      </c>
      <c r="C21" s="28" t="s">
        <v>118</v>
      </c>
      <c r="D21" s="4">
        <v>2023</v>
      </c>
      <c r="E21" s="5">
        <v>5.0178000000000003</v>
      </c>
      <c r="F21" s="5">
        <f t="shared" si="0"/>
        <v>1.89472128</v>
      </c>
      <c r="G21" s="6">
        <f t="shared" si="1"/>
        <v>3.1230787200000005</v>
      </c>
      <c r="H21" s="5">
        <v>1.5437259999999999</v>
      </c>
      <c r="I21" s="5">
        <f t="shared" si="3"/>
        <v>1.5793527200000006</v>
      </c>
      <c r="J21" s="5">
        <v>0.24573800000000001</v>
      </c>
      <c r="K21" s="5">
        <v>26.554870000000001</v>
      </c>
      <c r="L21" s="5">
        <v>2.4464760000000001</v>
      </c>
      <c r="M21" s="5">
        <v>21.495999999999999</v>
      </c>
      <c r="N21" s="6">
        <v>18.202445999999998</v>
      </c>
      <c r="O21" s="8">
        <v>282097000</v>
      </c>
      <c r="P21" s="29">
        <f t="shared" si="2"/>
        <v>1.1070939145045855E-6</v>
      </c>
    </row>
    <row r="22" spans="1:16" ht="15" customHeight="1" x14ac:dyDescent="0.3">
      <c r="A22" s="26" t="s">
        <v>61</v>
      </c>
      <c r="B22" s="27" t="s">
        <v>117</v>
      </c>
      <c r="C22" s="28" t="s">
        <v>118</v>
      </c>
      <c r="D22" s="4">
        <v>2024</v>
      </c>
      <c r="E22" s="5">
        <v>8.1972930000000002</v>
      </c>
      <c r="F22" s="5">
        <f t="shared" si="0"/>
        <v>3.0952978367999999</v>
      </c>
      <c r="G22" s="6">
        <f t="shared" si="1"/>
        <v>5.1019951631999998</v>
      </c>
      <c r="H22" s="5">
        <v>2.4579300000000002</v>
      </c>
      <c r="I22" s="5">
        <f t="shared" si="3"/>
        <v>2.6440651631999996</v>
      </c>
      <c r="J22" s="5">
        <v>1.167724</v>
      </c>
      <c r="K22" s="5">
        <v>42.551814</v>
      </c>
      <c r="L22" s="5">
        <v>4.0763040000000004</v>
      </c>
      <c r="M22" s="5">
        <v>37.214514000000001</v>
      </c>
      <c r="N22" s="6">
        <v>32.154974000000003</v>
      </c>
      <c r="O22" s="8">
        <v>310681000</v>
      </c>
      <c r="P22" s="29">
        <f t="shared" si="2"/>
        <v>1.6421973545855717E-6</v>
      </c>
    </row>
    <row r="23" spans="1:16" ht="15" hidden="1" customHeight="1" x14ac:dyDescent="0.3">
      <c r="A23" s="30" t="s">
        <v>61</v>
      </c>
      <c r="B23" s="23" t="s">
        <v>101</v>
      </c>
      <c r="C23" s="24" t="s">
        <v>102</v>
      </c>
      <c r="D23" s="10">
        <v>2019</v>
      </c>
      <c r="E23" s="11">
        <v>1089.4257250000001</v>
      </c>
      <c r="F23" s="11">
        <f t="shared" si="0"/>
        <v>411.36715376000001</v>
      </c>
      <c r="G23" s="12">
        <f t="shared" si="1"/>
        <v>678.05857123999999</v>
      </c>
      <c r="H23" s="11">
        <v>352.76534700000002</v>
      </c>
      <c r="I23" s="11">
        <f t="shared" si="3"/>
        <v>325.29322423999997</v>
      </c>
      <c r="J23" s="11">
        <v>116.469679</v>
      </c>
      <c r="K23" s="11">
        <v>6882.5331800000004</v>
      </c>
      <c r="L23" s="11">
        <v>1073.099833</v>
      </c>
      <c r="M23" s="11">
        <v>5168.4689680000001</v>
      </c>
      <c r="N23" s="12">
        <v>5329.1545660000002</v>
      </c>
      <c r="O23" s="14">
        <v>195548000</v>
      </c>
      <c r="P23" s="31">
        <f t="shared" si="2"/>
        <v>3.4674789373453067E-4</v>
      </c>
    </row>
    <row r="24" spans="1:16" ht="15" hidden="1" customHeight="1" x14ac:dyDescent="0.3">
      <c r="A24" s="30" t="s">
        <v>61</v>
      </c>
      <c r="B24" s="23" t="s">
        <v>101</v>
      </c>
      <c r="C24" s="24" t="s">
        <v>102</v>
      </c>
      <c r="D24" s="10">
        <v>2020</v>
      </c>
      <c r="E24" s="11">
        <v>1039.6191940000001</v>
      </c>
      <c r="F24" s="11">
        <f t="shared" si="0"/>
        <v>392.56020765440002</v>
      </c>
      <c r="G24" s="12">
        <f t="shared" si="1"/>
        <v>647.05898634560003</v>
      </c>
      <c r="H24" s="11">
        <v>345.74504300000001</v>
      </c>
      <c r="I24" s="11">
        <f t="shared" si="3"/>
        <v>301.31394334560002</v>
      </c>
      <c r="J24" s="11">
        <v>6.2040300000000004</v>
      </c>
      <c r="K24" s="11">
        <v>7186.0343339999999</v>
      </c>
      <c r="L24" s="11">
        <v>1113.45389</v>
      </c>
      <c r="M24" s="11">
        <v>6029.65823</v>
      </c>
      <c r="N24" s="12">
        <v>4497.5350760000001</v>
      </c>
      <c r="O24" s="14">
        <v>201307000</v>
      </c>
      <c r="P24" s="31">
        <f t="shared" si="2"/>
        <v>3.2142895495218749E-4</v>
      </c>
    </row>
    <row r="25" spans="1:16" ht="15" hidden="1" customHeight="1" x14ac:dyDescent="0.3">
      <c r="A25" s="30" t="s">
        <v>61</v>
      </c>
      <c r="B25" s="23" t="s">
        <v>101</v>
      </c>
      <c r="C25" s="24" t="s">
        <v>102</v>
      </c>
      <c r="D25" s="10">
        <v>2021</v>
      </c>
      <c r="E25" s="11">
        <v>1117.9334650000001</v>
      </c>
      <c r="F25" s="11">
        <f t="shared" si="0"/>
        <v>422.131676384</v>
      </c>
      <c r="G25" s="12">
        <f t="shared" si="1"/>
        <v>695.80178861600007</v>
      </c>
      <c r="H25" s="11">
        <v>327.757518</v>
      </c>
      <c r="I25" s="11">
        <f t="shared" si="3"/>
        <v>368.04427061600006</v>
      </c>
      <c r="J25" s="11">
        <v>105.1855</v>
      </c>
      <c r="K25" s="11">
        <v>7292.0894850000004</v>
      </c>
      <c r="L25" s="11">
        <v>1336.762659</v>
      </c>
      <c r="M25" s="11">
        <v>5902.8011539999998</v>
      </c>
      <c r="N25" s="12">
        <v>4979.9877280000001</v>
      </c>
      <c r="O25" s="14">
        <v>239556000</v>
      </c>
      <c r="P25" s="31">
        <f t="shared" si="2"/>
        <v>2.904547532167844E-4</v>
      </c>
    </row>
    <row r="26" spans="1:16" ht="15" hidden="1" customHeight="1" x14ac:dyDescent="0.3">
      <c r="A26" s="30" t="s">
        <v>61</v>
      </c>
      <c r="B26" s="23" t="s">
        <v>101</v>
      </c>
      <c r="C26" s="24" t="s">
        <v>102</v>
      </c>
      <c r="D26" s="10">
        <v>2022</v>
      </c>
      <c r="E26" s="11">
        <v>1485.375331</v>
      </c>
      <c r="F26" s="11">
        <f t="shared" si="0"/>
        <v>560.87772498560003</v>
      </c>
      <c r="G26" s="12">
        <f t="shared" si="1"/>
        <v>924.49760601439993</v>
      </c>
      <c r="H26" s="11">
        <v>391.89795099999998</v>
      </c>
      <c r="I26" s="11">
        <f t="shared" si="3"/>
        <v>532.59965501440001</v>
      </c>
      <c r="J26" s="11">
        <v>42.594127999999998</v>
      </c>
      <c r="K26" s="11">
        <v>8250.3408579999996</v>
      </c>
      <c r="L26" s="11">
        <v>1765.213931</v>
      </c>
      <c r="M26" s="11">
        <v>6405.6976400000003</v>
      </c>
      <c r="N26" s="12">
        <v>6453.6490560000002</v>
      </c>
      <c r="O26" s="14">
        <v>262954000</v>
      </c>
      <c r="P26" s="31">
        <f t="shared" si="2"/>
        <v>3.5158149562828473E-4</v>
      </c>
    </row>
    <row r="27" spans="1:16" ht="15" hidden="1" customHeight="1" x14ac:dyDescent="0.3">
      <c r="A27" s="30" t="s">
        <v>61</v>
      </c>
      <c r="B27" s="23" t="s">
        <v>101</v>
      </c>
      <c r="C27" s="24" t="s">
        <v>102</v>
      </c>
      <c r="D27" s="10">
        <v>2023</v>
      </c>
      <c r="E27" s="11">
        <v>1740.0087410000001</v>
      </c>
      <c r="F27" s="11">
        <f t="shared" si="0"/>
        <v>657.02730060160002</v>
      </c>
      <c r="G27" s="12">
        <f t="shared" si="1"/>
        <v>1082.9814403984001</v>
      </c>
      <c r="H27" s="11">
        <v>416.08871599999998</v>
      </c>
      <c r="I27" s="11">
        <f t="shared" si="3"/>
        <v>666.89272439840011</v>
      </c>
      <c r="J27" s="11">
        <v>40.183435000000003</v>
      </c>
      <c r="K27" s="11">
        <v>10172.809776</v>
      </c>
      <c r="L27" s="11">
        <v>1853.645526</v>
      </c>
      <c r="M27" s="11">
        <v>8143.1628099999998</v>
      </c>
      <c r="N27" s="12">
        <v>7006.3356080000003</v>
      </c>
      <c r="O27" s="14">
        <v>282097000</v>
      </c>
      <c r="P27" s="31">
        <f t="shared" si="2"/>
        <v>3.8390391971499172E-4</v>
      </c>
    </row>
    <row r="28" spans="1:16" ht="15" hidden="1" customHeight="1" x14ac:dyDescent="0.3">
      <c r="A28" s="26" t="s">
        <v>61</v>
      </c>
      <c r="B28" s="27" t="s">
        <v>111</v>
      </c>
      <c r="C28" s="28" t="s">
        <v>112</v>
      </c>
      <c r="D28" s="4">
        <v>2020</v>
      </c>
      <c r="E28" s="5">
        <v>259.09106600000001</v>
      </c>
      <c r="F28" s="5">
        <f t="shared" si="0"/>
        <v>97.832786521599999</v>
      </c>
      <c r="G28" s="6">
        <f t="shared" si="1"/>
        <v>161.25827947840003</v>
      </c>
      <c r="H28" s="5">
        <v>94.295685000000006</v>
      </c>
      <c r="I28" s="5">
        <f t="shared" si="3"/>
        <v>66.962594478400021</v>
      </c>
      <c r="J28" s="5">
        <v>23.530014999999999</v>
      </c>
      <c r="K28" s="5">
        <v>2384.8037199999999</v>
      </c>
      <c r="L28" s="5">
        <v>1188.516979</v>
      </c>
      <c r="M28" s="5">
        <v>1129.6604649999999</v>
      </c>
      <c r="N28" s="6">
        <v>2069.9549900000002</v>
      </c>
      <c r="O28" s="8">
        <v>201307000</v>
      </c>
      <c r="P28" s="29">
        <f t="shared" si="2"/>
        <v>8.0105649320888012E-5</v>
      </c>
    </row>
    <row r="29" spans="1:16" ht="15" hidden="1" customHeight="1" x14ac:dyDescent="0.3">
      <c r="A29" s="26" t="s">
        <v>61</v>
      </c>
      <c r="B29" s="27" t="s">
        <v>111</v>
      </c>
      <c r="C29" s="28" t="s">
        <v>112</v>
      </c>
      <c r="D29" s="4">
        <v>2021</v>
      </c>
      <c r="E29" s="5">
        <v>237.66830899999999</v>
      </c>
      <c r="F29" s="5">
        <f t="shared" si="0"/>
        <v>89.743553478399988</v>
      </c>
      <c r="G29" s="6">
        <f t="shared" si="1"/>
        <v>147.92475552159999</v>
      </c>
      <c r="H29" s="5">
        <v>87.097455999999994</v>
      </c>
      <c r="I29" s="5">
        <f t="shared" si="3"/>
        <v>60.827299521599997</v>
      </c>
      <c r="J29" s="5">
        <v>16.322393000000002</v>
      </c>
      <c r="K29" s="5">
        <v>1941.5712470000001</v>
      </c>
      <c r="L29" s="5">
        <v>1214.5391990000001</v>
      </c>
      <c r="M29" s="5">
        <v>710.68890599999997</v>
      </c>
      <c r="N29" s="6">
        <v>1560.263784</v>
      </c>
      <c r="O29" s="8">
        <v>239556000</v>
      </c>
      <c r="P29" s="29">
        <f t="shared" si="2"/>
        <v>6.1749551470887803E-5</v>
      </c>
    </row>
    <row r="30" spans="1:16" ht="15" hidden="1" customHeight="1" x14ac:dyDescent="0.3">
      <c r="A30" s="26" t="s">
        <v>61</v>
      </c>
      <c r="B30" s="27" t="s">
        <v>111</v>
      </c>
      <c r="C30" s="28" t="s">
        <v>112</v>
      </c>
      <c r="D30" s="4">
        <v>2022</v>
      </c>
      <c r="E30" s="5">
        <v>510.61139500000002</v>
      </c>
      <c r="F30" s="5">
        <f t="shared" si="0"/>
        <v>192.806862752</v>
      </c>
      <c r="G30" s="6">
        <f t="shared" si="1"/>
        <v>317.80453224799999</v>
      </c>
      <c r="H30" s="5">
        <v>82.871101999999993</v>
      </c>
      <c r="I30" s="5">
        <f t="shared" si="3"/>
        <v>234.93343024799998</v>
      </c>
      <c r="J30" s="5">
        <v>34.302945999999999</v>
      </c>
      <c r="K30" s="5">
        <v>2055.2634189999999</v>
      </c>
      <c r="L30" s="5">
        <v>1395.810643</v>
      </c>
      <c r="M30" s="5">
        <v>217.98501200000001</v>
      </c>
      <c r="N30" s="6">
        <v>1848.8221160000001</v>
      </c>
      <c r="O30" s="8">
        <v>262954000</v>
      </c>
      <c r="P30" s="29">
        <f t="shared" si="2"/>
        <v>1.2085936408953657E-4</v>
      </c>
    </row>
    <row r="31" spans="1:16" ht="15" hidden="1" customHeight="1" x14ac:dyDescent="0.3">
      <c r="A31" s="26" t="s">
        <v>61</v>
      </c>
      <c r="B31" s="27" t="s">
        <v>111</v>
      </c>
      <c r="C31" s="28" t="s">
        <v>112</v>
      </c>
      <c r="D31" s="4">
        <v>2023</v>
      </c>
      <c r="E31" s="5">
        <v>286.65636799999999</v>
      </c>
      <c r="F31" s="5">
        <f t="shared" si="0"/>
        <v>108.24144455679999</v>
      </c>
      <c r="G31" s="6">
        <f t="shared" si="1"/>
        <v>178.4149234432</v>
      </c>
      <c r="H31" s="5">
        <v>104.315637</v>
      </c>
      <c r="I31" s="5">
        <f t="shared" si="3"/>
        <v>74.0992864432</v>
      </c>
      <c r="J31" s="5">
        <v>-183.41869399999999</v>
      </c>
      <c r="K31" s="5">
        <v>6665.4838589999999</v>
      </c>
      <c r="L31" s="5">
        <v>1327.8182400000001</v>
      </c>
      <c r="M31" s="5">
        <v>5247.9737109999996</v>
      </c>
      <c r="N31" s="6">
        <v>1217.831784</v>
      </c>
      <c r="O31" s="8">
        <v>282097000</v>
      </c>
      <c r="P31" s="29">
        <f t="shared" si="2"/>
        <v>6.3245948536567198E-5</v>
      </c>
    </row>
    <row r="32" spans="1:16" ht="15" customHeight="1" x14ac:dyDescent="0.3">
      <c r="A32" s="30" t="s">
        <v>61</v>
      </c>
      <c r="B32" s="23" t="s">
        <v>111</v>
      </c>
      <c r="C32" s="24" t="s">
        <v>112</v>
      </c>
      <c r="D32" s="10">
        <v>2024</v>
      </c>
      <c r="E32" s="11">
        <v>500.80233299999998</v>
      </c>
      <c r="F32" s="11">
        <f t="shared" si="0"/>
        <v>189.10296094079999</v>
      </c>
      <c r="G32" s="12">
        <f t="shared" si="1"/>
        <v>311.69937205919996</v>
      </c>
      <c r="H32" s="11">
        <v>97.170652000000004</v>
      </c>
      <c r="I32" s="11">
        <f t="shared" si="3"/>
        <v>214.52872005919994</v>
      </c>
      <c r="J32" s="11">
        <v>257.067385</v>
      </c>
      <c r="K32" s="11">
        <v>10126.419297</v>
      </c>
      <c r="L32" s="11">
        <v>1578.1939500000001</v>
      </c>
      <c r="M32" s="11">
        <v>8520.8656269999992</v>
      </c>
      <c r="N32" s="12">
        <v>2065.0358409999999</v>
      </c>
      <c r="O32" s="14">
        <v>310681000</v>
      </c>
      <c r="P32" s="31">
        <f t="shared" si="2"/>
        <v>1.0032778704175664E-4</v>
      </c>
    </row>
    <row r="33" spans="1:16" ht="15" hidden="1" customHeight="1" x14ac:dyDescent="0.3">
      <c r="A33" s="30" t="s">
        <v>61</v>
      </c>
      <c r="B33" s="23" t="s">
        <v>125</v>
      </c>
      <c r="C33" s="24" t="s">
        <v>126</v>
      </c>
      <c r="D33" s="10">
        <v>2023</v>
      </c>
      <c r="E33" s="11">
        <v>88.925670999999994</v>
      </c>
      <c r="F33" s="11">
        <f t="shared" si="0"/>
        <v>33.578333369599996</v>
      </c>
      <c r="G33" s="12">
        <f t="shared" si="1"/>
        <v>55.347337630399998</v>
      </c>
      <c r="H33" s="11">
        <v>34.868673999999999</v>
      </c>
      <c r="I33" s="11">
        <f t="shared" si="3"/>
        <v>20.4786636304</v>
      </c>
      <c r="J33" s="11">
        <v>9.0771250000000006</v>
      </c>
      <c r="K33" s="11">
        <v>632.05359399999998</v>
      </c>
      <c r="L33" s="11">
        <v>579.28115500000001</v>
      </c>
      <c r="M33" s="11">
        <v>7.5464190000000002</v>
      </c>
      <c r="N33" s="12">
        <v>318.53042799999997</v>
      </c>
      <c r="O33" s="14">
        <v>282097000</v>
      </c>
      <c r="P33" s="31">
        <f t="shared" si="2"/>
        <v>1.9619966759802478E-5</v>
      </c>
    </row>
    <row r="34" spans="1:16" ht="15" hidden="1" customHeight="1" x14ac:dyDescent="0.3">
      <c r="A34" s="30" t="s">
        <v>61</v>
      </c>
      <c r="B34" s="23" t="s">
        <v>91</v>
      </c>
      <c r="C34" s="24" t="s">
        <v>92</v>
      </c>
      <c r="D34" s="10">
        <v>2017</v>
      </c>
      <c r="E34" s="11">
        <v>370.30517800000001</v>
      </c>
      <c r="F34" s="11">
        <f t="shared" si="0"/>
        <v>139.82723521279999</v>
      </c>
      <c r="G34" s="12">
        <f t="shared" si="1"/>
        <v>230.47794278720002</v>
      </c>
      <c r="H34" s="11">
        <v>343.64813800000002</v>
      </c>
      <c r="I34" s="11">
        <f t="shared" si="3"/>
        <v>-113.1701952128</v>
      </c>
      <c r="J34" s="11">
        <v>-267.827451</v>
      </c>
      <c r="K34" s="11">
        <v>1331.783304</v>
      </c>
      <c r="L34" s="11">
        <v>1180.9397120000001</v>
      </c>
      <c r="M34" s="11"/>
      <c r="N34" s="12">
        <v>766.81040099999996</v>
      </c>
      <c r="O34" s="14">
        <v>179315000</v>
      </c>
      <c r="P34" s="31">
        <f t="shared" si="2"/>
        <v>1.2853243888531356E-4</v>
      </c>
    </row>
    <row r="35" spans="1:16" ht="15" hidden="1" customHeight="1" x14ac:dyDescent="0.3">
      <c r="A35" s="30" t="s">
        <v>61</v>
      </c>
      <c r="B35" s="23" t="s">
        <v>91</v>
      </c>
      <c r="C35" s="24" t="s">
        <v>92</v>
      </c>
      <c r="D35" s="10">
        <v>2018</v>
      </c>
      <c r="E35" s="11">
        <v>275.19538699999998</v>
      </c>
      <c r="F35" s="11">
        <f t="shared" si="0"/>
        <v>103.91377813119999</v>
      </c>
      <c r="G35" s="12">
        <f t="shared" si="1"/>
        <v>171.28160886879999</v>
      </c>
      <c r="H35" s="11">
        <v>285.65080799999998</v>
      </c>
      <c r="I35" s="11">
        <f t="shared" si="3"/>
        <v>-114.36919913119999</v>
      </c>
      <c r="J35" s="11">
        <v>-158.692778</v>
      </c>
      <c r="K35" s="11">
        <v>1119.830958</v>
      </c>
      <c r="L35" s="11">
        <v>1024.0860809999999</v>
      </c>
      <c r="M35" s="11"/>
      <c r="N35" s="12">
        <v>580.339563</v>
      </c>
      <c r="O35" s="14">
        <v>189435000</v>
      </c>
      <c r="P35" s="31">
        <f t="shared" si="2"/>
        <v>9.0417087058252167E-5</v>
      </c>
    </row>
    <row r="36" spans="1:16" ht="15" hidden="1" customHeight="1" x14ac:dyDescent="0.3">
      <c r="A36" s="26" t="s">
        <v>61</v>
      </c>
      <c r="B36" s="27" t="s">
        <v>81</v>
      </c>
      <c r="C36" s="28" t="s">
        <v>82</v>
      </c>
      <c r="D36" s="4">
        <v>2017</v>
      </c>
      <c r="E36" s="5"/>
      <c r="F36" s="5">
        <f t="shared" si="0"/>
        <v>0</v>
      </c>
      <c r="G36" s="6">
        <f t="shared" si="1"/>
        <v>0</v>
      </c>
      <c r="H36" s="5">
        <v>86.665999999999997</v>
      </c>
      <c r="I36" s="5">
        <f t="shared" si="3"/>
        <v>-86.665999999999997</v>
      </c>
      <c r="J36" s="5">
        <v>-96.233999999999995</v>
      </c>
      <c r="K36" s="5">
        <v>183.10400000000001</v>
      </c>
      <c r="L36" s="5">
        <v>94.412999999999997</v>
      </c>
      <c r="M36" s="5"/>
      <c r="N36" s="6"/>
      <c r="O36" s="8">
        <v>179315000</v>
      </c>
      <c r="P36" s="29">
        <f t="shared" si="2"/>
        <v>0</v>
      </c>
    </row>
    <row r="37" spans="1:16" ht="15" hidden="1" customHeight="1" x14ac:dyDescent="0.3">
      <c r="A37" s="26" t="s">
        <v>61</v>
      </c>
      <c r="B37" s="27" t="s">
        <v>81</v>
      </c>
      <c r="C37" s="28" t="s">
        <v>82</v>
      </c>
      <c r="D37" s="4">
        <v>2018</v>
      </c>
      <c r="E37" s="5"/>
      <c r="F37" s="5">
        <f t="shared" si="0"/>
        <v>0</v>
      </c>
      <c r="G37" s="6">
        <f t="shared" si="1"/>
        <v>0</v>
      </c>
      <c r="H37" s="5">
        <v>70.504000000000005</v>
      </c>
      <c r="I37" s="5">
        <f t="shared" si="3"/>
        <v>-70.504000000000005</v>
      </c>
      <c r="J37" s="5">
        <v>-66.778000000000006</v>
      </c>
      <c r="K37" s="5">
        <v>98.650999999999996</v>
      </c>
      <c r="L37" s="5">
        <v>12.057</v>
      </c>
      <c r="M37" s="5"/>
      <c r="N37" s="6"/>
      <c r="O37" s="8">
        <v>189435000</v>
      </c>
      <c r="P37" s="29">
        <f t="shared" si="2"/>
        <v>0</v>
      </c>
    </row>
    <row r="38" spans="1:16" ht="15" hidden="1" customHeight="1" x14ac:dyDescent="0.3">
      <c r="A38" s="26" t="s">
        <v>61</v>
      </c>
      <c r="B38" s="27" t="s">
        <v>66</v>
      </c>
      <c r="C38" s="28" t="s">
        <v>67</v>
      </c>
      <c r="D38" s="4">
        <v>2015</v>
      </c>
      <c r="E38" s="5">
        <v>0</v>
      </c>
      <c r="F38" s="5">
        <f t="shared" si="0"/>
        <v>0</v>
      </c>
      <c r="G38" s="6">
        <f t="shared" si="1"/>
        <v>0</v>
      </c>
      <c r="H38" s="5"/>
      <c r="I38" s="5">
        <f t="shared" si="3"/>
        <v>0</v>
      </c>
      <c r="J38" s="5">
        <v>-1.12E-4</v>
      </c>
      <c r="K38" s="5">
        <v>2.802E-2</v>
      </c>
      <c r="L38" s="5">
        <v>2.802E-2</v>
      </c>
      <c r="M38" s="5">
        <v>0</v>
      </c>
      <c r="N38" s="6">
        <v>0</v>
      </c>
      <c r="O38" s="8">
        <v>158623000</v>
      </c>
      <c r="P38" s="29">
        <f t="shared" si="2"/>
        <v>0</v>
      </c>
    </row>
    <row r="39" spans="1:16" ht="15" hidden="1" customHeight="1" x14ac:dyDescent="0.3">
      <c r="A39" s="30" t="s">
        <v>61</v>
      </c>
      <c r="B39" s="23" t="s">
        <v>66</v>
      </c>
      <c r="C39" s="24" t="s">
        <v>67</v>
      </c>
      <c r="D39" s="10">
        <v>2016</v>
      </c>
      <c r="E39" s="11">
        <v>2.1909999999999998E-3</v>
      </c>
      <c r="F39" s="11">
        <f t="shared" si="0"/>
        <v>8.2732159999999988E-4</v>
      </c>
      <c r="G39" s="12">
        <f t="shared" si="1"/>
        <v>1.3636783999999998E-3</v>
      </c>
      <c r="H39" s="11"/>
      <c r="I39" s="11">
        <f t="shared" si="3"/>
        <v>1.3636783999999998E-3</v>
      </c>
      <c r="J39" s="11">
        <v>-1.7597000000000002E-2</v>
      </c>
      <c r="K39" s="11">
        <v>2.6606000000000001E-2</v>
      </c>
      <c r="L39" s="11">
        <v>2.3667000000000001E-2</v>
      </c>
      <c r="M39" s="11">
        <v>0</v>
      </c>
      <c r="N39" s="12">
        <v>1.1761000000000001E-2</v>
      </c>
      <c r="O39" s="14">
        <v>168765000</v>
      </c>
      <c r="P39" s="31">
        <f t="shared" si="2"/>
        <v>8.0803389328355983E-10</v>
      </c>
    </row>
    <row r="40" spans="1:16" ht="15" hidden="1" customHeight="1" x14ac:dyDescent="0.3">
      <c r="A40" s="30" t="s">
        <v>61</v>
      </c>
      <c r="B40" s="23" t="s">
        <v>66</v>
      </c>
      <c r="C40" s="24" t="s">
        <v>67</v>
      </c>
      <c r="D40" s="10">
        <v>2017</v>
      </c>
      <c r="E40" s="11"/>
      <c r="F40" s="11">
        <f t="shared" si="0"/>
        <v>0</v>
      </c>
      <c r="G40" s="12">
        <f t="shared" si="1"/>
        <v>0</v>
      </c>
      <c r="H40" s="11">
        <v>11.792999999999999</v>
      </c>
      <c r="I40" s="11">
        <f t="shared" si="3"/>
        <v>-11.792999999999999</v>
      </c>
      <c r="J40" s="11">
        <v>1.6859999999999999</v>
      </c>
      <c r="K40" s="11">
        <v>47.655999999999999</v>
      </c>
      <c r="L40" s="11">
        <v>43.527000000000001</v>
      </c>
      <c r="M40" s="11"/>
      <c r="N40" s="12"/>
      <c r="O40" s="14">
        <v>179315000</v>
      </c>
      <c r="P40" s="31">
        <f t="shared" si="2"/>
        <v>0</v>
      </c>
    </row>
    <row r="41" spans="1:16" ht="15" hidden="1" customHeight="1" x14ac:dyDescent="0.3">
      <c r="A41" s="30" t="s">
        <v>61</v>
      </c>
      <c r="B41" s="23" t="s">
        <v>66</v>
      </c>
      <c r="C41" s="24" t="s">
        <v>67</v>
      </c>
      <c r="D41" s="10">
        <v>2018</v>
      </c>
      <c r="E41" s="11"/>
      <c r="F41" s="11">
        <f t="shared" si="0"/>
        <v>0</v>
      </c>
      <c r="G41" s="12">
        <f t="shared" si="1"/>
        <v>0</v>
      </c>
      <c r="H41" s="11">
        <v>19.603000000000002</v>
      </c>
      <c r="I41" s="11">
        <f t="shared" si="3"/>
        <v>-19.603000000000002</v>
      </c>
      <c r="J41" s="11">
        <v>-5.1710000000000003</v>
      </c>
      <c r="K41" s="11">
        <v>62.722000000000001</v>
      </c>
      <c r="L41" s="11">
        <v>58.197000000000003</v>
      </c>
      <c r="M41" s="11"/>
      <c r="N41" s="12"/>
      <c r="O41" s="14">
        <v>189435000</v>
      </c>
      <c r="P41" s="31">
        <f t="shared" si="2"/>
        <v>0</v>
      </c>
    </row>
    <row r="42" spans="1:16" ht="15" hidden="1" customHeight="1" x14ac:dyDescent="0.3">
      <c r="A42" s="26" t="s">
        <v>61</v>
      </c>
      <c r="B42" s="27" t="s">
        <v>77</v>
      </c>
      <c r="C42" s="28" t="s">
        <v>78</v>
      </c>
      <c r="D42" s="4">
        <v>2016</v>
      </c>
      <c r="E42" s="5">
        <v>0.85205399999999998</v>
      </c>
      <c r="F42" s="5">
        <f t="shared" si="0"/>
        <v>0.32173559039999999</v>
      </c>
      <c r="G42" s="6">
        <f t="shared" si="1"/>
        <v>0.53031840959999998</v>
      </c>
      <c r="H42" s="5">
        <v>0.167966</v>
      </c>
      <c r="I42" s="5">
        <f t="shared" si="3"/>
        <v>0.36235240959999998</v>
      </c>
      <c r="J42" s="5">
        <v>0.28198699999999999</v>
      </c>
      <c r="K42" s="5">
        <v>5.493493</v>
      </c>
      <c r="L42" s="5">
        <v>2.2134659999999999</v>
      </c>
      <c r="M42" s="5">
        <v>3.2616450000000001</v>
      </c>
      <c r="N42" s="6">
        <v>4.9640120000000003</v>
      </c>
      <c r="O42" s="8">
        <v>168765000</v>
      </c>
      <c r="P42" s="29">
        <f t="shared" si="2"/>
        <v>3.1423482925962134E-7</v>
      </c>
    </row>
    <row r="43" spans="1:16" ht="15" hidden="1" customHeight="1" x14ac:dyDescent="0.3">
      <c r="A43" s="26" t="s">
        <v>61</v>
      </c>
      <c r="B43" s="27" t="s">
        <v>77</v>
      </c>
      <c r="C43" s="28" t="s">
        <v>78</v>
      </c>
      <c r="D43" s="4">
        <v>2017</v>
      </c>
      <c r="E43" s="5">
        <v>1160.472</v>
      </c>
      <c r="F43" s="5">
        <f t="shared" si="0"/>
        <v>438.1942272</v>
      </c>
      <c r="G43" s="6">
        <f t="shared" si="1"/>
        <v>722.27777279999998</v>
      </c>
      <c r="H43" s="5">
        <v>202.54499999999999</v>
      </c>
      <c r="I43" s="5">
        <f t="shared" si="3"/>
        <v>519.73277280000002</v>
      </c>
      <c r="J43" s="5">
        <v>392.78</v>
      </c>
      <c r="K43" s="5">
        <v>7092.5649999999996</v>
      </c>
      <c r="L43" s="5">
        <v>2914.7280000000001</v>
      </c>
      <c r="M43" s="5">
        <v>4177.8370000000004</v>
      </c>
      <c r="N43" s="6"/>
      <c r="O43" s="8">
        <v>179315000</v>
      </c>
      <c r="P43" s="29">
        <f t="shared" si="2"/>
        <v>4.0279830064411784E-4</v>
      </c>
    </row>
    <row r="44" spans="1:16" ht="15" hidden="1" customHeight="1" x14ac:dyDescent="0.3">
      <c r="A44" s="26" t="s">
        <v>61</v>
      </c>
      <c r="B44" s="27" t="s">
        <v>77</v>
      </c>
      <c r="C44" s="28" t="s">
        <v>78</v>
      </c>
      <c r="D44" s="4">
        <v>2018</v>
      </c>
      <c r="E44" s="5">
        <v>1249.5609999999999</v>
      </c>
      <c r="F44" s="5">
        <f t="shared" si="0"/>
        <v>471.83423359999995</v>
      </c>
      <c r="G44" s="6">
        <f t="shared" si="1"/>
        <v>777.72676639999997</v>
      </c>
      <c r="H44" s="5">
        <v>217.369</v>
      </c>
      <c r="I44" s="5">
        <f t="shared" si="3"/>
        <v>560.35776639999995</v>
      </c>
      <c r="J44" s="5">
        <v>410.92599999999999</v>
      </c>
      <c r="K44" s="5">
        <v>7640.8109999999997</v>
      </c>
      <c r="L44" s="5">
        <v>4095.2869999999998</v>
      </c>
      <c r="M44" s="5">
        <v>3545.5239999999999</v>
      </c>
      <c r="N44" s="6"/>
      <c r="O44" s="8">
        <v>189435000</v>
      </c>
      <c r="P44" s="29">
        <f t="shared" si="2"/>
        <v>4.105507252619632E-4</v>
      </c>
    </row>
    <row r="45" spans="1:16" ht="15" hidden="1" customHeight="1" x14ac:dyDescent="0.3">
      <c r="A45" s="26" t="s">
        <v>61</v>
      </c>
      <c r="B45" s="27" t="s">
        <v>103</v>
      </c>
      <c r="C45" s="28" t="s">
        <v>104</v>
      </c>
      <c r="D45" s="4">
        <v>2019</v>
      </c>
      <c r="E45" s="5">
        <v>786.22555799999998</v>
      </c>
      <c r="F45" s="5">
        <f t="shared" si="0"/>
        <v>296.87877070079998</v>
      </c>
      <c r="G45" s="6">
        <f t="shared" si="1"/>
        <v>489.3467872992</v>
      </c>
      <c r="H45" s="5">
        <v>470.66399999999999</v>
      </c>
      <c r="I45" s="5">
        <f t="shared" si="3"/>
        <v>18.682787299200015</v>
      </c>
      <c r="J45" s="5">
        <v>23.657494</v>
      </c>
      <c r="K45" s="5">
        <v>6787.012874</v>
      </c>
      <c r="L45" s="5">
        <v>6660.1536539999997</v>
      </c>
      <c r="M45" s="5">
        <v>64.254893999999993</v>
      </c>
      <c r="N45" s="6">
        <v>4672.0809730000001</v>
      </c>
      <c r="O45" s="8">
        <v>195548000</v>
      </c>
      <c r="P45" s="29">
        <f t="shared" si="2"/>
        <v>2.5024382110745187E-4</v>
      </c>
    </row>
    <row r="46" spans="1:16" ht="15" hidden="1" customHeight="1" x14ac:dyDescent="0.3">
      <c r="A46" s="30" t="s">
        <v>61</v>
      </c>
      <c r="B46" s="23" t="s">
        <v>103</v>
      </c>
      <c r="C46" s="24" t="s">
        <v>104</v>
      </c>
      <c r="D46" s="10">
        <v>2020</v>
      </c>
      <c r="E46" s="11">
        <v>678.07500000000005</v>
      </c>
      <c r="F46" s="11">
        <f t="shared" si="0"/>
        <v>256.04112000000003</v>
      </c>
      <c r="G46" s="12">
        <f t="shared" si="1"/>
        <v>422.03388000000001</v>
      </c>
      <c r="H46" s="11">
        <v>414.22199999999998</v>
      </c>
      <c r="I46" s="11">
        <f t="shared" si="3"/>
        <v>7.8118800000000306</v>
      </c>
      <c r="J46" s="11">
        <v>33.212000000000003</v>
      </c>
      <c r="K46" s="11">
        <v>6891.8190000000004</v>
      </c>
      <c r="L46" s="11">
        <v>6783.9059999999999</v>
      </c>
      <c r="M46" s="11">
        <v>51.908000000000001</v>
      </c>
      <c r="N46" s="12">
        <v>3613.373</v>
      </c>
      <c r="O46" s="14">
        <v>201307000</v>
      </c>
      <c r="P46" s="31">
        <f t="shared" si="2"/>
        <v>2.0964689752467623E-4</v>
      </c>
    </row>
    <row r="47" spans="1:16" ht="15" hidden="1" customHeight="1" x14ac:dyDescent="0.3">
      <c r="A47" s="30" t="s">
        <v>61</v>
      </c>
      <c r="B47" s="23" t="s">
        <v>103</v>
      </c>
      <c r="C47" s="24" t="s">
        <v>104</v>
      </c>
      <c r="D47" s="10">
        <v>2021</v>
      </c>
      <c r="E47" s="11">
        <v>681.91300000000001</v>
      </c>
      <c r="F47" s="11">
        <f t="shared" si="0"/>
        <v>257.49034879999999</v>
      </c>
      <c r="G47" s="12">
        <f t="shared" si="1"/>
        <v>424.42265120000002</v>
      </c>
      <c r="H47" s="11">
        <v>250.28299999999999</v>
      </c>
      <c r="I47" s="11">
        <f t="shared" si="3"/>
        <v>174.13965120000003</v>
      </c>
      <c r="J47" s="11">
        <v>-166.149</v>
      </c>
      <c r="K47" s="11">
        <v>7517.0309999999999</v>
      </c>
      <c r="L47" s="11">
        <v>7440.152</v>
      </c>
      <c r="M47" s="11">
        <v>43.03</v>
      </c>
      <c r="N47" s="12">
        <v>3188.84</v>
      </c>
      <c r="O47" s="14">
        <v>239556000</v>
      </c>
      <c r="P47" s="31">
        <f t="shared" si="2"/>
        <v>1.7717053682646228E-4</v>
      </c>
    </row>
    <row r="48" spans="1:16" ht="15" hidden="1" customHeight="1" x14ac:dyDescent="0.3">
      <c r="A48" s="30" t="s">
        <v>61</v>
      </c>
      <c r="B48" s="23" t="s">
        <v>103</v>
      </c>
      <c r="C48" s="24" t="s">
        <v>104</v>
      </c>
      <c r="D48" s="10">
        <v>2022</v>
      </c>
      <c r="E48" s="11">
        <v>1101.046779</v>
      </c>
      <c r="F48" s="11">
        <f t="shared" si="0"/>
        <v>415.75526375039999</v>
      </c>
      <c r="G48" s="12">
        <f t="shared" si="1"/>
        <v>685.29151524960002</v>
      </c>
      <c r="H48" s="11">
        <v>541.57500000000005</v>
      </c>
      <c r="I48" s="11">
        <f t="shared" si="3"/>
        <v>143.71651524959998</v>
      </c>
      <c r="J48" s="11">
        <v>-412.35342200000002</v>
      </c>
      <c r="K48" s="11">
        <v>8475.0101059999997</v>
      </c>
      <c r="L48" s="11">
        <v>8289.0516640000005</v>
      </c>
      <c r="M48" s="11">
        <v>156.131621</v>
      </c>
      <c r="N48" s="12">
        <v>4272.113351</v>
      </c>
      <c r="O48" s="14">
        <v>262954000</v>
      </c>
      <c r="P48" s="31">
        <f t="shared" si="2"/>
        <v>2.6061269851365639E-4</v>
      </c>
    </row>
    <row r="49" spans="1:16" ht="15" hidden="1" customHeight="1" x14ac:dyDescent="0.3">
      <c r="A49" s="26" t="s">
        <v>61</v>
      </c>
      <c r="B49" s="27" t="s">
        <v>103</v>
      </c>
      <c r="C49" s="28" t="s">
        <v>104</v>
      </c>
      <c r="D49" s="4">
        <v>2023</v>
      </c>
      <c r="E49" s="5">
        <v>1270.017801</v>
      </c>
      <c r="F49" s="5">
        <f t="shared" si="0"/>
        <v>479.55872165759996</v>
      </c>
      <c r="G49" s="6">
        <f t="shared" si="1"/>
        <v>790.45907934239995</v>
      </c>
      <c r="H49" s="5">
        <v>609.56799999999998</v>
      </c>
      <c r="I49" s="5">
        <f t="shared" si="3"/>
        <v>180.89107934239996</v>
      </c>
      <c r="J49" s="5">
        <v>170.64343299999999</v>
      </c>
      <c r="K49" s="5">
        <v>8374.3542440000001</v>
      </c>
      <c r="L49" s="5">
        <v>8133.9973399999999</v>
      </c>
      <c r="M49" s="5">
        <v>177.32181600000001</v>
      </c>
      <c r="N49" s="6">
        <v>4230.3691449999997</v>
      </c>
      <c r="O49" s="8">
        <v>282097000</v>
      </c>
      <c r="P49" s="29">
        <f t="shared" si="2"/>
        <v>2.802082543743464E-4</v>
      </c>
    </row>
    <row r="50" spans="1:16" ht="15" hidden="1" customHeight="1" x14ac:dyDescent="0.3">
      <c r="A50" s="30" t="s">
        <v>61</v>
      </c>
      <c r="B50" s="23" t="s">
        <v>68</v>
      </c>
      <c r="C50" s="24" t="s">
        <v>54</v>
      </c>
      <c r="D50" s="10">
        <v>2015</v>
      </c>
      <c r="E50" s="11">
        <v>3368.8769240000001</v>
      </c>
      <c r="F50" s="11">
        <f t="shared" si="0"/>
        <v>1272.0879265024</v>
      </c>
      <c r="G50" s="12">
        <f t="shared" si="1"/>
        <v>2096.7889974976001</v>
      </c>
      <c r="H50" s="11">
        <v>984.36359300000004</v>
      </c>
      <c r="I50" s="11">
        <f t="shared" si="3"/>
        <v>1112.4254044976001</v>
      </c>
      <c r="J50" s="11">
        <v>582.30361200000004</v>
      </c>
      <c r="K50" s="11">
        <v>28146.627666</v>
      </c>
      <c r="L50" s="11">
        <v>23719.670843</v>
      </c>
      <c r="M50" s="11">
        <v>4202.1047669999998</v>
      </c>
      <c r="N50" s="12">
        <v>21229.853982000001</v>
      </c>
      <c r="O50" s="14">
        <v>158623000</v>
      </c>
      <c r="P50" s="31">
        <f t="shared" si="2"/>
        <v>1.3218694624976203E-3</v>
      </c>
    </row>
    <row r="51" spans="1:16" ht="15" hidden="1" customHeight="1" x14ac:dyDescent="0.3">
      <c r="A51" s="26" t="s">
        <v>61</v>
      </c>
      <c r="B51" s="27" t="s">
        <v>69</v>
      </c>
      <c r="C51" s="28" t="s">
        <v>70</v>
      </c>
      <c r="D51" s="4">
        <v>2015</v>
      </c>
      <c r="E51" s="5">
        <v>553.038363</v>
      </c>
      <c r="F51" s="5">
        <f t="shared" si="0"/>
        <v>208.8272858688</v>
      </c>
      <c r="G51" s="6">
        <f t="shared" si="1"/>
        <v>344.2110771312</v>
      </c>
      <c r="H51" s="5">
        <v>164.46856199999999</v>
      </c>
      <c r="I51" s="5">
        <f t="shared" si="3"/>
        <v>179.74251513120001</v>
      </c>
      <c r="J51" s="5"/>
      <c r="K51" s="5"/>
      <c r="L51" s="5"/>
      <c r="M51" s="5"/>
      <c r="N51" s="6"/>
      <c r="O51" s="8">
        <v>158623000</v>
      </c>
      <c r="P51" s="29">
        <f t="shared" si="2"/>
        <v>2.1699947493818676E-4</v>
      </c>
    </row>
    <row r="52" spans="1:16" ht="15" hidden="1" customHeight="1" x14ac:dyDescent="0.3">
      <c r="A52" s="30" t="s">
        <v>61</v>
      </c>
      <c r="B52" s="23" t="s">
        <v>69</v>
      </c>
      <c r="C52" s="24" t="s">
        <v>70</v>
      </c>
      <c r="D52" s="10">
        <v>2016</v>
      </c>
      <c r="E52" s="11">
        <v>560.69058099999995</v>
      </c>
      <c r="F52" s="11">
        <f t="shared" si="0"/>
        <v>211.71676338559999</v>
      </c>
      <c r="G52" s="12">
        <f t="shared" si="1"/>
        <v>348.97381761439999</v>
      </c>
      <c r="H52" s="11">
        <v>202.414142</v>
      </c>
      <c r="I52" s="11">
        <f t="shared" si="3"/>
        <v>146.55967561439999</v>
      </c>
      <c r="J52" s="11"/>
      <c r="K52" s="11"/>
      <c r="L52" s="11"/>
      <c r="M52" s="11"/>
      <c r="N52" s="12"/>
      <c r="O52" s="14">
        <v>168765000</v>
      </c>
      <c r="P52" s="31">
        <f t="shared" si="2"/>
        <v>2.0678091880093621E-4</v>
      </c>
    </row>
    <row r="53" spans="1:16" ht="15" hidden="1" customHeight="1" x14ac:dyDescent="0.3">
      <c r="A53" s="30" t="s">
        <v>61</v>
      </c>
      <c r="B53" s="23" t="s">
        <v>69</v>
      </c>
      <c r="C53" s="24" t="s">
        <v>70</v>
      </c>
      <c r="D53" s="10">
        <v>2017</v>
      </c>
      <c r="E53" s="11">
        <v>638.42818599999998</v>
      </c>
      <c r="F53" s="11">
        <f t="shared" si="0"/>
        <v>241.0704830336</v>
      </c>
      <c r="G53" s="12">
        <f t="shared" si="1"/>
        <v>397.35770296639998</v>
      </c>
      <c r="H53" s="11">
        <v>198.855749</v>
      </c>
      <c r="I53" s="11">
        <f t="shared" si="3"/>
        <v>198.50195396639998</v>
      </c>
      <c r="J53" s="11"/>
      <c r="K53" s="11"/>
      <c r="L53" s="11"/>
      <c r="M53" s="11"/>
      <c r="N53" s="12"/>
      <c r="O53" s="14">
        <v>179315000</v>
      </c>
      <c r="P53" s="31">
        <f t="shared" si="2"/>
        <v>2.2159758133251538E-4</v>
      </c>
    </row>
    <row r="54" spans="1:16" ht="15" hidden="1" customHeight="1" x14ac:dyDescent="0.3">
      <c r="A54" s="30" t="s">
        <v>61</v>
      </c>
      <c r="B54" s="23" t="s">
        <v>69</v>
      </c>
      <c r="C54" s="24" t="s">
        <v>70</v>
      </c>
      <c r="D54" s="10">
        <v>2018</v>
      </c>
      <c r="E54" s="11">
        <v>657.18568600000003</v>
      </c>
      <c r="F54" s="11">
        <f t="shared" si="0"/>
        <v>248.15331503359999</v>
      </c>
      <c r="G54" s="12">
        <f t="shared" si="1"/>
        <v>409.03237096640004</v>
      </c>
      <c r="H54" s="11">
        <v>224.94058000000001</v>
      </c>
      <c r="I54" s="11">
        <f t="shared" si="3"/>
        <v>184.09179096640003</v>
      </c>
      <c r="J54" s="11">
        <v>12.754144</v>
      </c>
      <c r="K54" s="11">
        <v>4801.5266069999998</v>
      </c>
      <c r="L54" s="11">
        <v>618.553271</v>
      </c>
      <c r="M54" s="11">
        <v>4014.9294829999999</v>
      </c>
      <c r="N54" s="12">
        <v>3252.1375939999998</v>
      </c>
      <c r="O54" s="14">
        <v>189435000</v>
      </c>
      <c r="P54" s="31">
        <f t="shared" si="2"/>
        <v>2.1592227991997255E-4</v>
      </c>
    </row>
    <row r="55" spans="1:16" ht="15" hidden="1" customHeight="1" x14ac:dyDescent="0.3">
      <c r="A55" s="30" t="s">
        <v>61</v>
      </c>
      <c r="B55" s="23" t="s">
        <v>69</v>
      </c>
      <c r="C55" s="24" t="s">
        <v>70</v>
      </c>
      <c r="D55" s="10">
        <v>2019</v>
      </c>
      <c r="E55" s="11">
        <v>757.91552200000001</v>
      </c>
      <c r="F55" s="11">
        <f t="shared" si="0"/>
        <v>286.18890110720002</v>
      </c>
      <c r="G55" s="12">
        <f t="shared" si="1"/>
        <v>471.72662089279999</v>
      </c>
      <c r="H55" s="11">
        <v>263.38930599999998</v>
      </c>
      <c r="I55" s="11">
        <f t="shared" si="3"/>
        <v>208.33731489280001</v>
      </c>
      <c r="J55" s="11">
        <v>11.276717</v>
      </c>
      <c r="K55" s="11">
        <v>5578.4891209999996</v>
      </c>
      <c r="L55" s="11">
        <v>657.59011299999997</v>
      </c>
      <c r="M55" s="11">
        <v>4485.6803170000003</v>
      </c>
      <c r="N55" s="12">
        <v>3682.6677490000002</v>
      </c>
      <c r="O55" s="14">
        <v>195548000</v>
      </c>
      <c r="P55" s="31">
        <f t="shared" si="2"/>
        <v>2.4123316060138688E-4</v>
      </c>
    </row>
    <row r="56" spans="1:16" ht="15" hidden="1" customHeight="1" x14ac:dyDescent="0.3">
      <c r="A56" s="26" t="s">
        <v>61</v>
      </c>
      <c r="B56" s="27" t="s">
        <v>69</v>
      </c>
      <c r="C56" s="28" t="s">
        <v>70</v>
      </c>
      <c r="D56" s="4">
        <v>2022</v>
      </c>
      <c r="E56" s="5">
        <v>968.553494</v>
      </c>
      <c r="F56" s="5">
        <f t="shared" si="0"/>
        <v>365.72579933439999</v>
      </c>
      <c r="G56" s="6">
        <f t="shared" si="1"/>
        <v>602.82769466560001</v>
      </c>
      <c r="H56" s="5">
        <v>392.92978900000003</v>
      </c>
      <c r="I56" s="5">
        <f t="shared" si="3"/>
        <v>209.89790566559998</v>
      </c>
      <c r="J56" s="5">
        <v>10.828047</v>
      </c>
      <c r="K56" s="5"/>
      <c r="L56" s="5"/>
      <c r="M56" s="5"/>
      <c r="N56" s="6"/>
      <c r="O56" s="8">
        <v>262954000</v>
      </c>
      <c r="P56" s="29">
        <f t="shared" si="2"/>
        <v>2.2925214853761495E-4</v>
      </c>
    </row>
    <row r="57" spans="1:16" ht="15" hidden="1" customHeight="1" x14ac:dyDescent="0.3">
      <c r="A57" s="30" t="s">
        <v>61</v>
      </c>
      <c r="B57" s="23" t="s">
        <v>69</v>
      </c>
      <c r="C57" s="24" t="s">
        <v>70</v>
      </c>
      <c r="D57" s="10">
        <v>2023</v>
      </c>
      <c r="E57" s="11">
        <v>5438.8510829999996</v>
      </c>
      <c r="F57" s="11">
        <f t="shared" si="0"/>
        <v>2053.7101689407996</v>
      </c>
      <c r="G57" s="12">
        <f t="shared" si="1"/>
        <v>3385.1409140592</v>
      </c>
      <c r="H57" s="11">
        <v>1094.03332</v>
      </c>
      <c r="I57" s="11">
        <f t="shared" si="3"/>
        <v>2291.1075940592</v>
      </c>
      <c r="J57" s="11">
        <v>619.40967799999999</v>
      </c>
      <c r="K57" s="11">
        <v>19732.572795</v>
      </c>
      <c r="L57" s="11">
        <v>6512.7473749999999</v>
      </c>
      <c r="M57" s="11">
        <v>13009.668478</v>
      </c>
      <c r="N57" s="12">
        <v>15456.547495000001</v>
      </c>
      <c r="O57" s="14">
        <v>282097000</v>
      </c>
      <c r="P57" s="31">
        <f t="shared" si="2"/>
        <v>1.1999918163111271E-3</v>
      </c>
    </row>
    <row r="58" spans="1:16" ht="15" hidden="1" customHeight="1" x14ac:dyDescent="0.3">
      <c r="A58" s="26" t="s">
        <v>61</v>
      </c>
      <c r="B58" s="27" t="s">
        <v>69</v>
      </c>
      <c r="C58" s="28" t="s">
        <v>70</v>
      </c>
      <c r="D58" s="4">
        <v>2023</v>
      </c>
      <c r="E58" s="5">
        <v>5438.8510829999996</v>
      </c>
      <c r="F58" s="5">
        <f t="shared" si="0"/>
        <v>2053.7101689407996</v>
      </c>
      <c r="G58" s="6">
        <f t="shared" si="1"/>
        <v>3385.1409140592</v>
      </c>
      <c r="H58" s="5">
        <v>1094.03332</v>
      </c>
      <c r="I58" s="5">
        <f t="shared" si="3"/>
        <v>2291.1075940592</v>
      </c>
      <c r="J58" s="5">
        <v>619.40967799999999</v>
      </c>
      <c r="K58" s="5">
        <v>8943.7205479999993</v>
      </c>
      <c r="L58" s="5">
        <v>906.81991400000004</v>
      </c>
      <c r="M58" s="5">
        <v>7940.5407429999996</v>
      </c>
      <c r="N58" s="6"/>
      <c r="O58" s="8">
        <v>282097000</v>
      </c>
      <c r="P58" s="29">
        <f t="shared" si="2"/>
        <v>1.1999918163111271E-3</v>
      </c>
    </row>
    <row r="59" spans="1:16" ht="15" hidden="1" customHeight="1" x14ac:dyDescent="0.3">
      <c r="A59" s="26" t="s">
        <v>61</v>
      </c>
      <c r="B59" s="27" t="s">
        <v>79</v>
      </c>
      <c r="C59" s="28" t="s">
        <v>80</v>
      </c>
      <c r="D59" s="4">
        <v>2016</v>
      </c>
      <c r="E59" s="5">
        <v>0.13983799999999999</v>
      </c>
      <c r="F59" s="5">
        <f t="shared" si="0"/>
        <v>5.2802828799999993E-2</v>
      </c>
      <c r="G59" s="6">
        <f t="shared" si="1"/>
        <v>8.7035171199999997E-2</v>
      </c>
      <c r="H59" s="5">
        <v>7.1817000000000006E-2</v>
      </c>
      <c r="I59" s="5">
        <f t="shared" si="3"/>
        <v>1.5218171199999991E-2</v>
      </c>
      <c r="J59" s="5">
        <v>1.6070000000000001E-2</v>
      </c>
      <c r="K59" s="5">
        <v>0.72865599999999997</v>
      </c>
      <c r="L59" s="5">
        <v>8.3831000000000003E-2</v>
      </c>
      <c r="M59" s="5">
        <v>0.64241800000000004</v>
      </c>
      <c r="N59" s="6">
        <v>0.47530899999999998</v>
      </c>
      <c r="O59" s="8">
        <v>168765000</v>
      </c>
      <c r="P59" s="29">
        <f t="shared" si="2"/>
        <v>5.157181358694042E-8</v>
      </c>
    </row>
    <row r="60" spans="1:16" ht="15" hidden="1" customHeight="1" x14ac:dyDescent="0.3">
      <c r="A60" s="26" t="s">
        <v>61</v>
      </c>
      <c r="B60" s="27" t="s">
        <v>79</v>
      </c>
      <c r="C60" s="28" t="s">
        <v>80</v>
      </c>
      <c r="D60" s="4">
        <v>2017</v>
      </c>
      <c r="E60" s="5">
        <v>0.13136700000000001</v>
      </c>
      <c r="F60" s="5">
        <f t="shared" si="0"/>
        <v>4.9604179200000001E-2</v>
      </c>
      <c r="G60" s="6">
        <f t="shared" si="1"/>
        <v>8.1762820800000011E-2</v>
      </c>
      <c r="H60" s="5">
        <v>8.3293000000000006E-2</v>
      </c>
      <c r="I60" s="5">
        <f t="shared" si="3"/>
        <v>-1.5301791999999953E-3</v>
      </c>
      <c r="J60" s="5">
        <v>9.0379999999999992E-3</v>
      </c>
      <c r="K60" s="5">
        <v>0.79116500000000001</v>
      </c>
      <c r="L60" s="5">
        <v>8.1389000000000003E-2</v>
      </c>
      <c r="M60" s="5">
        <v>0.70163799999999998</v>
      </c>
      <c r="N60" s="6">
        <v>0.64570300000000003</v>
      </c>
      <c r="O60" s="8">
        <v>179315000</v>
      </c>
      <c r="P60" s="29">
        <f t="shared" si="2"/>
        <v>4.5597312439003996E-8</v>
      </c>
    </row>
    <row r="61" spans="1:16" ht="15" hidden="1" customHeight="1" x14ac:dyDescent="0.3">
      <c r="A61" s="26" t="s">
        <v>61</v>
      </c>
      <c r="B61" s="27" t="s">
        <v>62</v>
      </c>
      <c r="C61" s="28" t="s">
        <v>63</v>
      </c>
      <c r="D61" s="4">
        <v>2014</v>
      </c>
      <c r="E61" s="5">
        <v>247.13324299999999</v>
      </c>
      <c r="F61" s="5">
        <f t="shared" si="0"/>
        <v>93.317512556799997</v>
      </c>
      <c r="G61" s="6">
        <f t="shared" si="1"/>
        <v>153.81573044319998</v>
      </c>
      <c r="H61" s="5">
        <v>74.356209000000007</v>
      </c>
      <c r="I61" s="5">
        <f t="shared" si="3"/>
        <v>79.459521443199975</v>
      </c>
      <c r="J61" s="5"/>
      <c r="K61" s="5">
        <v>1172.6334959999999</v>
      </c>
      <c r="L61" s="5">
        <v>1113.4526760000001</v>
      </c>
      <c r="M61" s="5">
        <v>39.610346</v>
      </c>
      <c r="N61" s="6">
        <v>821.23123699999996</v>
      </c>
      <c r="O61" s="8">
        <v>144706000</v>
      </c>
      <c r="P61" s="29">
        <f t="shared" si="2"/>
        <v>1.062953370580349E-4</v>
      </c>
    </row>
    <row r="62" spans="1:16" ht="15" hidden="1" customHeight="1" x14ac:dyDescent="0.3">
      <c r="A62" s="30" t="s">
        <v>61</v>
      </c>
      <c r="B62" s="23" t="s">
        <v>62</v>
      </c>
      <c r="C62" s="24" t="s">
        <v>63</v>
      </c>
      <c r="D62" s="10">
        <v>2015</v>
      </c>
      <c r="E62" s="11">
        <v>251.804914</v>
      </c>
      <c r="F62" s="11">
        <f t="shared" si="0"/>
        <v>95.081535526400003</v>
      </c>
      <c r="G62" s="12">
        <f t="shared" si="1"/>
        <v>156.72337847360001</v>
      </c>
      <c r="H62" s="11">
        <v>86.255315999999993</v>
      </c>
      <c r="I62" s="11">
        <f t="shared" si="3"/>
        <v>70.468062473600014</v>
      </c>
      <c r="J62" s="11"/>
      <c r="K62" s="11">
        <v>1286.845515</v>
      </c>
      <c r="L62" s="11">
        <v>1214.8229670000001</v>
      </c>
      <c r="M62" s="11">
        <v>57.722889000000002</v>
      </c>
      <c r="N62" s="12">
        <v>903.23929199999998</v>
      </c>
      <c r="O62" s="14">
        <v>158623000</v>
      </c>
      <c r="P62" s="31">
        <f t="shared" si="2"/>
        <v>9.880242995883322E-5</v>
      </c>
    </row>
    <row r="63" spans="1:16" ht="15" hidden="1" customHeight="1" x14ac:dyDescent="0.3">
      <c r="A63" s="30" t="s">
        <v>61</v>
      </c>
      <c r="B63" s="23" t="s">
        <v>62</v>
      </c>
      <c r="C63" s="24" t="s">
        <v>63</v>
      </c>
      <c r="D63" s="10">
        <v>2016</v>
      </c>
      <c r="E63" s="11">
        <v>235.77157099999999</v>
      </c>
      <c r="F63" s="11">
        <f t="shared" si="0"/>
        <v>89.0273452096</v>
      </c>
      <c r="G63" s="12">
        <f t="shared" si="1"/>
        <v>146.74422579039998</v>
      </c>
      <c r="H63" s="11">
        <v>93.099451000000002</v>
      </c>
      <c r="I63" s="11">
        <f t="shared" si="3"/>
        <v>53.644774790399978</v>
      </c>
      <c r="J63" s="11"/>
      <c r="K63" s="11">
        <v>1369.7302810000001</v>
      </c>
      <c r="L63" s="11">
        <v>1282.1932389999999</v>
      </c>
      <c r="M63" s="11">
        <v>68.492948999999996</v>
      </c>
      <c r="N63" s="12">
        <v>920.28239299999996</v>
      </c>
      <c r="O63" s="14">
        <v>168765000</v>
      </c>
      <c r="P63" s="31">
        <f t="shared" si="2"/>
        <v>8.6951812159156213E-5</v>
      </c>
    </row>
    <row r="64" spans="1:16" ht="15" hidden="1" customHeight="1" x14ac:dyDescent="0.3">
      <c r="A64" s="30" t="s">
        <v>61</v>
      </c>
      <c r="B64" s="23" t="s">
        <v>62</v>
      </c>
      <c r="C64" s="24" t="s">
        <v>63</v>
      </c>
      <c r="D64" s="10">
        <v>2017</v>
      </c>
      <c r="E64" s="11">
        <v>227.747241</v>
      </c>
      <c r="F64" s="11">
        <f t="shared" si="0"/>
        <v>85.997358201599994</v>
      </c>
      <c r="G64" s="12">
        <f t="shared" si="1"/>
        <v>141.74988279839999</v>
      </c>
      <c r="H64" s="11">
        <v>101.494456</v>
      </c>
      <c r="I64" s="11">
        <f t="shared" si="3"/>
        <v>40.255426798399995</v>
      </c>
      <c r="J64" s="11">
        <v>33.685507000000001</v>
      </c>
      <c r="K64" s="11">
        <v>1400.710313</v>
      </c>
      <c r="L64" s="11">
        <v>1345.5609890000001</v>
      </c>
      <c r="M64" s="11">
        <v>25.387311</v>
      </c>
      <c r="N64" s="12">
        <v>886.95894699999997</v>
      </c>
      <c r="O64" s="14">
        <v>179315000</v>
      </c>
      <c r="P64" s="31">
        <f t="shared" si="2"/>
        <v>7.9050766973426647E-5</v>
      </c>
    </row>
    <row r="65" spans="1:16" ht="15" hidden="1" customHeight="1" x14ac:dyDescent="0.3">
      <c r="A65" s="26" t="s">
        <v>61</v>
      </c>
      <c r="B65" s="27" t="s">
        <v>62</v>
      </c>
      <c r="C65" s="28" t="s">
        <v>63</v>
      </c>
      <c r="D65" s="4">
        <v>2018</v>
      </c>
      <c r="E65" s="5">
        <v>226.56739899999999</v>
      </c>
      <c r="F65" s="5">
        <f t="shared" si="0"/>
        <v>85.55184986239999</v>
      </c>
      <c r="G65" s="6">
        <f t="shared" si="1"/>
        <v>141.0155491376</v>
      </c>
      <c r="H65" s="5">
        <v>106.06039699999999</v>
      </c>
      <c r="I65" s="5">
        <f t="shared" si="3"/>
        <v>34.95515213760001</v>
      </c>
      <c r="J65" s="5">
        <v>-19.197057999999998</v>
      </c>
      <c r="K65" s="5">
        <v>1397.199807</v>
      </c>
      <c r="L65" s="5">
        <v>1347.614781</v>
      </c>
      <c r="M65" s="5">
        <v>13.917498</v>
      </c>
      <c r="N65" s="6">
        <v>934.97534800000005</v>
      </c>
      <c r="O65" s="8">
        <v>189435000</v>
      </c>
      <c r="P65" s="29">
        <f t="shared" si="2"/>
        <v>7.4440071337186902E-5</v>
      </c>
    </row>
    <row r="66" spans="1:16" ht="15" hidden="1" customHeight="1" x14ac:dyDescent="0.3">
      <c r="A66" s="30" t="s">
        <v>61</v>
      </c>
      <c r="B66" s="23" t="s">
        <v>62</v>
      </c>
      <c r="C66" s="24" t="s">
        <v>63</v>
      </c>
      <c r="D66" s="10">
        <v>2022</v>
      </c>
      <c r="E66" s="11">
        <v>207.97096199999999</v>
      </c>
      <c r="F66" s="11">
        <f t="shared" si="0"/>
        <v>78.529835251199998</v>
      </c>
      <c r="G66" s="12">
        <f t="shared" si="1"/>
        <v>129.4411267488</v>
      </c>
      <c r="H66" s="11"/>
      <c r="I66" s="11">
        <f t="shared" si="3"/>
        <v>129.4411267488</v>
      </c>
      <c r="J66" s="11">
        <v>-94.272581000000002</v>
      </c>
      <c r="K66" s="11">
        <v>1621.8757169999999</v>
      </c>
      <c r="L66" s="11">
        <v>1558.554369</v>
      </c>
      <c r="M66" s="11"/>
      <c r="N66" s="12">
        <v>809.59617500000002</v>
      </c>
      <c r="O66" s="14">
        <v>262954000</v>
      </c>
      <c r="P66" s="31">
        <f t="shared" si="2"/>
        <v>4.922576828981495E-5</v>
      </c>
    </row>
    <row r="67" spans="1:16" ht="15" hidden="1" customHeight="1" x14ac:dyDescent="0.3">
      <c r="A67" s="30" t="s">
        <v>61</v>
      </c>
      <c r="B67" s="23" t="s">
        <v>62</v>
      </c>
      <c r="C67" s="24" t="s">
        <v>63</v>
      </c>
      <c r="D67" s="10">
        <v>2023</v>
      </c>
      <c r="E67" s="11">
        <v>259.499529</v>
      </c>
      <c r="F67" s="11">
        <f t="shared" si="0"/>
        <v>97.987022150399994</v>
      </c>
      <c r="G67" s="12">
        <f t="shared" si="1"/>
        <v>161.51250684960002</v>
      </c>
      <c r="H67" s="11"/>
      <c r="I67" s="11">
        <f t="shared" si="3"/>
        <v>161.51250684960002</v>
      </c>
      <c r="J67" s="11">
        <v>22.827034000000001</v>
      </c>
      <c r="K67" s="11">
        <v>1613.158539</v>
      </c>
      <c r="L67" s="11">
        <v>1540.3397199999999</v>
      </c>
      <c r="M67" s="11"/>
      <c r="N67" s="12">
        <v>907.73818800000004</v>
      </c>
      <c r="O67" s="14">
        <v>282097000</v>
      </c>
      <c r="P67" s="31">
        <f t="shared" si="2"/>
        <v>5.72542447631843E-5</v>
      </c>
    </row>
    <row r="68" spans="1:16" ht="15" hidden="1" customHeight="1" x14ac:dyDescent="0.3">
      <c r="A68" s="26" t="s">
        <v>61</v>
      </c>
      <c r="B68" s="27" t="s">
        <v>83</v>
      </c>
      <c r="C68" s="28" t="s">
        <v>84</v>
      </c>
      <c r="D68" s="4">
        <v>2017</v>
      </c>
      <c r="E68" s="5">
        <v>2207.2309140000002</v>
      </c>
      <c r="F68" s="5">
        <f t="shared" ref="F68:F129" si="4">0.3776*E68</f>
        <v>833.45039312640006</v>
      </c>
      <c r="G68" s="6">
        <f t="shared" ref="G68:G129" si="5">+E68-F68</f>
        <v>1373.7805208736002</v>
      </c>
      <c r="H68" s="5">
        <v>942.66384400000004</v>
      </c>
      <c r="I68" s="5">
        <f t="shared" ref="I68:I129" si="6">+G68-H68</f>
        <v>431.11667687360011</v>
      </c>
      <c r="J68" s="5">
        <v>20.684132000000002</v>
      </c>
      <c r="K68" s="5">
        <v>15720.697152999999</v>
      </c>
      <c r="L68" s="5">
        <v>8261.1877430000004</v>
      </c>
      <c r="M68" s="5">
        <v>1537.7548420000001</v>
      </c>
      <c r="N68" s="6">
        <v>8472.8267899999992</v>
      </c>
      <c r="O68" s="8">
        <v>179315000</v>
      </c>
      <c r="P68" s="29">
        <f t="shared" ref="P68:P129" si="7">+(G68/O68)*100</f>
        <v>7.6612693911474235E-4</v>
      </c>
    </row>
    <row r="69" spans="1:16" ht="15" hidden="1" customHeight="1" x14ac:dyDescent="0.3">
      <c r="A69" s="30" t="s">
        <v>61</v>
      </c>
      <c r="B69" s="23" t="s">
        <v>83</v>
      </c>
      <c r="C69" s="24" t="s">
        <v>84</v>
      </c>
      <c r="D69" s="10">
        <v>2018</v>
      </c>
      <c r="E69" s="11">
        <v>2218.9246480000002</v>
      </c>
      <c r="F69" s="11">
        <f t="shared" si="4"/>
        <v>837.86594708480004</v>
      </c>
      <c r="G69" s="12">
        <f t="shared" si="5"/>
        <v>1381.0587009152</v>
      </c>
      <c r="H69" s="11">
        <v>1353.3568009999999</v>
      </c>
      <c r="I69" s="11">
        <f t="shared" si="6"/>
        <v>27.701899915200102</v>
      </c>
      <c r="J69" s="11">
        <v>169.18851599999999</v>
      </c>
      <c r="K69" s="11">
        <v>15924.489546999999</v>
      </c>
      <c r="L69" s="11">
        <v>8477.3637990000007</v>
      </c>
      <c r="M69" s="11">
        <v>1401.4292539999999</v>
      </c>
      <c r="N69" s="12">
        <v>8188.5405250000003</v>
      </c>
      <c r="O69" s="14">
        <v>189435000</v>
      </c>
      <c r="P69" s="31">
        <f t="shared" si="7"/>
        <v>7.2904093800786553E-4</v>
      </c>
    </row>
    <row r="70" spans="1:16" ht="15" hidden="1" customHeight="1" x14ac:dyDescent="0.3">
      <c r="A70" s="26" t="s">
        <v>61</v>
      </c>
      <c r="B70" s="27" t="s">
        <v>121</v>
      </c>
      <c r="C70" s="28" t="s">
        <v>122</v>
      </c>
      <c r="D70" s="4">
        <v>2022</v>
      </c>
      <c r="E70" s="5">
        <v>394.29883100000001</v>
      </c>
      <c r="F70" s="5">
        <f t="shared" si="4"/>
        <v>148.88723858559999</v>
      </c>
      <c r="G70" s="6">
        <f t="shared" si="5"/>
        <v>245.41159241440002</v>
      </c>
      <c r="H70" s="5">
        <v>211.76086900000001</v>
      </c>
      <c r="I70" s="5">
        <f t="shared" si="6"/>
        <v>33.650723414400005</v>
      </c>
      <c r="J70" s="5">
        <v>1.45852</v>
      </c>
      <c r="K70" s="5">
        <v>3552.3873119999998</v>
      </c>
      <c r="L70" s="5">
        <v>1012.94254</v>
      </c>
      <c r="M70" s="5">
        <v>2529.241908</v>
      </c>
      <c r="N70" s="6">
        <v>1831.2423699999999</v>
      </c>
      <c r="O70" s="8">
        <v>262954000</v>
      </c>
      <c r="P70" s="29">
        <f t="shared" si="7"/>
        <v>9.3328716206789023E-5</v>
      </c>
    </row>
    <row r="71" spans="1:16" ht="15" hidden="1" customHeight="1" x14ac:dyDescent="0.3">
      <c r="A71" s="26" t="s">
        <v>61</v>
      </c>
      <c r="B71" s="27" t="s">
        <v>121</v>
      </c>
      <c r="C71" s="28" t="s">
        <v>122</v>
      </c>
      <c r="D71" s="4">
        <v>2023</v>
      </c>
      <c r="E71" s="5">
        <v>327.329655</v>
      </c>
      <c r="F71" s="5">
        <f t="shared" si="4"/>
        <v>123.599677728</v>
      </c>
      <c r="G71" s="6">
        <f t="shared" si="5"/>
        <v>203.72997727199999</v>
      </c>
      <c r="H71" s="5">
        <v>242.26779099999999</v>
      </c>
      <c r="I71" s="5">
        <f t="shared" si="6"/>
        <v>-38.537813728000003</v>
      </c>
      <c r="J71" s="5">
        <v>3.0739190000000001</v>
      </c>
      <c r="K71" s="5">
        <v>3579.5949350000001</v>
      </c>
      <c r="L71" s="5">
        <v>995.51474099999996</v>
      </c>
      <c r="M71" s="5">
        <v>2278.9391059999998</v>
      </c>
      <c r="N71" s="6">
        <v>1565.743759</v>
      </c>
      <c r="O71" s="8">
        <v>282097000</v>
      </c>
      <c r="P71" s="29">
        <f t="shared" si="7"/>
        <v>7.2219831218339785E-5</v>
      </c>
    </row>
    <row r="72" spans="1:16" ht="15" hidden="1" customHeight="1" x14ac:dyDescent="0.3">
      <c r="A72" s="30" t="s">
        <v>61</v>
      </c>
      <c r="B72" s="23" t="s">
        <v>113</v>
      </c>
      <c r="C72" s="24" t="s">
        <v>114</v>
      </c>
      <c r="D72" s="10">
        <v>2020</v>
      </c>
      <c r="E72" s="11">
        <v>4.7618140000000002</v>
      </c>
      <c r="F72" s="11">
        <f t="shared" si="4"/>
        <v>1.7980609664</v>
      </c>
      <c r="G72" s="12">
        <f t="shared" si="5"/>
        <v>2.9637530336000002</v>
      </c>
      <c r="H72" s="11">
        <v>1.6682049999999999</v>
      </c>
      <c r="I72" s="11">
        <f t="shared" si="6"/>
        <v>1.2955480336000003</v>
      </c>
      <c r="J72" s="11">
        <v>1.120719</v>
      </c>
      <c r="K72" s="11">
        <v>31.262546</v>
      </c>
      <c r="L72" s="11">
        <v>6.9242619999999997</v>
      </c>
      <c r="M72" s="11">
        <v>18.930191000000001</v>
      </c>
      <c r="N72" s="12">
        <v>26.845703</v>
      </c>
      <c r="O72" s="14">
        <v>201307000</v>
      </c>
      <c r="P72" s="31">
        <f t="shared" si="7"/>
        <v>1.4722553282300169E-6</v>
      </c>
    </row>
    <row r="73" spans="1:16" ht="15" hidden="1" customHeight="1" x14ac:dyDescent="0.3">
      <c r="A73" s="26" t="s">
        <v>61</v>
      </c>
      <c r="B73" s="27" t="s">
        <v>113</v>
      </c>
      <c r="C73" s="28" t="s">
        <v>114</v>
      </c>
      <c r="D73" s="4">
        <v>2021</v>
      </c>
      <c r="E73" s="5">
        <v>6.9516879999999999</v>
      </c>
      <c r="F73" s="5">
        <f t="shared" si="4"/>
        <v>2.6249573888</v>
      </c>
      <c r="G73" s="6">
        <f t="shared" si="5"/>
        <v>4.3267306112000004</v>
      </c>
      <c r="H73" s="5">
        <v>2.7533370000000001</v>
      </c>
      <c r="I73" s="5">
        <f t="shared" si="6"/>
        <v>1.5733936112000002</v>
      </c>
      <c r="J73" s="5">
        <v>1.2119089999999999</v>
      </c>
      <c r="K73" s="5">
        <v>28.152536000000001</v>
      </c>
      <c r="L73" s="5">
        <v>8.3970289999999999</v>
      </c>
      <c r="M73" s="5">
        <v>16.970946999999999</v>
      </c>
      <c r="N73" s="6">
        <v>25.760278</v>
      </c>
      <c r="O73" s="8">
        <v>239556000</v>
      </c>
      <c r="P73" s="29">
        <f t="shared" si="7"/>
        <v>1.8061457910467699E-6</v>
      </c>
    </row>
    <row r="74" spans="1:16" ht="15" hidden="1" customHeight="1" x14ac:dyDescent="0.3">
      <c r="A74" s="30" t="s">
        <v>61</v>
      </c>
      <c r="B74" s="23" t="s">
        <v>113</v>
      </c>
      <c r="C74" s="24" t="s">
        <v>114</v>
      </c>
      <c r="D74" s="10">
        <v>2022</v>
      </c>
      <c r="E74" s="11">
        <v>7.36768</v>
      </c>
      <c r="F74" s="11">
        <f t="shared" si="4"/>
        <v>2.7820359679999997</v>
      </c>
      <c r="G74" s="12">
        <f t="shared" si="5"/>
        <v>4.5856440320000003</v>
      </c>
      <c r="H74" s="11">
        <v>3.5667990000000001</v>
      </c>
      <c r="I74" s="11">
        <f t="shared" si="6"/>
        <v>1.0188450320000002</v>
      </c>
      <c r="J74" s="11">
        <v>-1.5590200000000001</v>
      </c>
      <c r="K74" s="11">
        <v>33.988987000000002</v>
      </c>
      <c r="L74" s="11">
        <v>8.3091690000000007</v>
      </c>
      <c r="M74" s="11">
        <v>21.550511</v>
      </c>
      <c r="N74" s="12">
        <v>31.136392000000001</v>
      </c>
      <c r="O74" s="14">
        <v>262954000</v>
      </c>
      <c r="P74" s="31">
        <f t="shared" si="7"/>
        <v>1.7438959027054161E-6</v>
      </c>
    </row>
    <row r="75" spans="1:16" ht="15" hidden="1" customHeight="1" x14ac:dyDescent="0.3">
      <c r="A75" s="26" t="s">
        <v>61</v>
      </c>
      <c r="B75" s="27" t="s">
        <v>113</v>
      </c>
      <c r="C75" s="28" t="s">
        <v>114</v>
      </c>
      <c r="D75" s="4">
        <v>2023</v>
      </c>
      <c r="E75" s="5">
        <v>9903.39</v>
      </c>
      <c r="F75" s="5">
        <f t="shared" si="4"/>
        <v>3739.5200639999998</v>
      </c>
      <c r="G75" s="6">
        <f t="shared" si="5"/>
        <v>6163.8699359999991</v>
      </c>
      <c r="H75" s="5">
        <v>3648.2339999999999</v>
      </c>
      <c r="I75" s="5">
        <f t="shared" si="6"/>
        <v>2515.6359359999992</v>
      </c>
      <c r="J75" s="5">
        <v>8.8640000000000008</v>
      </c>
      <c r="K75" s="5">
        <v>40048.603999999999</v>
      </c>
      <c r="L75" s="5">
        <v>9413.5630000000001</v>
      </c>
      <c r="M75" s="5">
        <v>26433.091</v>
      </c>
      <c r="N75" s="6">
        <v>36951.949999999997</v>
      </c>
      <c r="O75" s="8">
        <v>282097000</v>
      </c>
      <c r="P75" s="29">
        <f t="shared" si="7"/>
        <v>2.1850178966809288E-3</v>
      </c>
    </row>
    <row r="76" spans="1:16" ht="15" customHeight="1" x14ac:dyDescent="0.3">
      <c r="A76" s="26" t="s">
        <v>61</v>
      </c>
      <c r="B76" s="27" t="s">
        <v>113</v>
      </c>
      <c r="C76" s="28" t="s">
        <v>114</v>
      </c>
      <c r="D76" s="4">
        <v>2024</v>
      </c>
      <c r="E76" s="5">
        <v>10773.726000000001</v>
      </c>
      <c r="F76" s="5">
        <f t="shared" si="4"/>
        <v>4068.1589376000002</v>
      </c>
      <c r="G76" s="6">
        <f t="shared" si="5"/>
        <v>6705.5670624000004</v>
      </c>
      <c r="H76" s="5">
        <v>3985.462</v>
      </c>
      <c r="I76" s="5">
        <f t="shared" si="6"/>
        <v>2720.1050624000004</v>
      </c>
      <c r="J76" s="5">
        <v>397.14499999999998</v>
      </c>
      <c r="K76" s="5">
        <v>41370.800000000003</v>
      </c>
      <c r="L76" s="5">
        <v>10163.465</v>
      </c>
      <c r="M76" s="5">
        <v>28369.725999999999</v>
      </c>
      <c r="N76" s="6">
        <v>37253.148999999998</v>
      </c>
      <c r="O76" s="8">
        <v>310681000</v>
      </c>
      <c r="P76" s="29">
        <f t="shared" si="7"/>
        <v>2.1583447531068846E-3</v>
      </c>
    </row>
    <row r="77" spans="1:16" ht="15" hidden="1" customHeight="1" x14ac:dyDescent="0.3">
      <c r="A77" s="30" t="s">
        <v>61</v>
      </c>
      <c r="B77" s="23" t="s">
        <v>85</v>
      </c>
      <c r="C77" s="24" t="s">
        <v>86</v>
      </c>
      <c r="D77" s="10">
        <v>2017</v>
      </c>
      <c r="E77" s="11">
        <v>600.23494500000004</v>
      </c>
      <c r="F77" s="11">
        <f t="shared" si="4"/>
        <v>226.648715232</v>
      </c>
      <c r="G77" s="12">
        <f t="shared" si="5"/>
        <v>373.58622976800007</v>
      </c>
      <c r="H77" s="11">
        <v>221.11673200000001</v>
      </c>
      <c r="I77" s="11">
        <f t="shared" si="6"/>
        <v>152.46949776800005</v>
      </c>
      <c r="J77" s="11">
        <v>80.089241999999999</v>
      </c>
      <c r="K77" s="11">
        <v>4021.7864589999999</v>
      </c>
      <c r="L77" s="11">
        <v>1242.8996990000001</v>
      </c>
      <c r="M77" s="11">
        <v>2622.0788750000002</v>
      </c>
      <c r="N77" s="12">
        <v>3124.2480500000001</v>
      </c>
      <c r="O77" s="14">
        <v>179315000</v>
      </c>
      <c r="P77" s="31">
        <f t="shared" si="7"/>
        <v>2.0834075775478912E-4</v>
      </c>
    </row>
    <row r="78" spans="1:16" ht="15" hidden="1" customHeight="1" x14ac:dyDescent="0.3">
      <c r="A78" s="26" t="s">
        <v>61</v>
      </c>
      <c r="B78" s="27" t="s">
        <v>85</v>
      </c>
      <c r="C78" s="28" t="s">
        <v>86</v>
      </c>
      <c r="D78" s="4">
        <v>2018</v>
      </c>
      <c r="E78" s="5">
        <v>595.69579599999997</v>
      </c>
      <c r="F78" s="5">
        <f t="shared" si="4"/>
        <v>224.93473256959999</v>
      </c>
      <c r="G78" s="6">
        <f t="shared" si="5"/>
        <v>370.76106343039999</v>
      </c>
      <c r="H78" s="5">
        <v>239.34733600000001</v>
      </c>
      <c r="I78" s="5">
        <f t="shared" si="6"/>
        <v>131.41372743039997</v>
      </c>
      <c r="J78" s="5">
        <v>55.039586</v>
      </c>
      <c r="K78" s="5">
        <v>4078.9309629999998</v>
      </c>
      <c r="L78" s="5">
        <v>1349.324511</v>
      </c>
      <c r="M78" s="5">
        <v>2606.5927820000002</v>
      </c>
      <c r="N78" s="6">
        <v>2860.2708729999999</v>
      </c>
      <c r="O78" s="8">
        <v>189435000</v>
      </c>
      <c r="P78" s="29">
        <f t="shared" si="7"/>
        <v>1.9571940952326655E-4</v>
      </c>
    </row>
    <row r="79" spans="1:16" ht="15" hidden="1" customHeight="1" x14ac:dyDescent="0.3">
      <c r="A79" s="30" t="s">
        <v>61</v>
      </c>
      <c r="B79" s="23" t="s">
        <v>85</v>
      </c>
      <c r="C79" s="24" t="s">
        <v>86</v>
      </c>
      <c r="D79" s="10">
        <v>2022</v>
      </c>
      <c r="E79" s="11">
        <v>557.86332000000004</v>
      </c>
      <c r="F79" s="11">
        <f t="shared" si="4"/>
        <v>210.649189632</v>
      </c>
      <c r="G79" s="12">
        <f t="shared" si="5"/>
        <v>347.21413036800004</v>
      </c>
      <c r="H79" s="11">
        <v>304.89667400000002</v>
      </c>
      <c r="I79" s="11">
        <f t="shared" si="6"/>
        <v>42.317456368000023</v>
      </c>
      <c r="J79" s="11">
        <v>26.759331</v>
      </c>
      <c r="K79" s="11">
        <v>4649.9055829999998</v>
      </c>
      <c r="L79" s="11">
        <v>1506.7358730000001</v>
      </c>
      <c r="M79" s="11">
        <v>3129.8083740000002</v>
      </c>
      <c r="N79" s="12">
        <v>3687.928085</v>
      </c>
      <c r="O79" s="14">
        <v>262954000</v>
      </c>
      <c r="P79" s="31">
        <f t="shared" si="7"/>
        <v>1.3204367698076472E-4</v>
      </c>
    </row>
    <row r="80" spans="1:16" ht="15" hidden="1" customHeight="1" x14ac:dyDescent="0.3">
      <c r="A80" s="30" t="s">
        <v>61</v>
      </c>
      <c r="B80" s="23" t="s">
        <v>85</v>
      </c>
      <c r="C80" s="24" t="s">
        <v>86</v>
      </c>
      <c r="D80" s="10">
        <v>2023</v>
      </c>
      <c r="E80" s="11">
        <v>614.41515300000003</v>
      </c>
      <c r="F80" s="11">
        <f t="shared" si="4"/>
        <v>232.00316177280001</v>
      </c>
      <c r="G80" s="12">
        <f t="shared" si="5"/>
        <v>382.41199122720002</v>
      </c>
      <c r="H80" s="11">
        <v>315.40600699999999</v>
      </c>
      <c r="I80" s="11">
        <f t="shared" si="6"/>
        <v>67.005984227200031</v>
      </c>
      <c r="J80" s="11">
        <v>-95.109938999999997</v>
      </c>
      <c r="K80" s="11">
        <v>5197.0749859999996</v>
      </c>
      <c r="L80" s="11">
        <v>1465.333286</v>
      </c>
      <c r="M80" s="11">
        <v>3718.8844159999999</v>
      </c>
      <c r="N80" s="12">
        <v>3856.6362399999998</v>
      </c>
      <c r="O80" s="14">
        <v>282097000</v>
      </c>
      <c r="P80" s="31">
        <f t="shared" si="7"/>
        <v>1.3556046013505992E-4</v>
      </c>
    </row>
    <row r="81" spans="1:16" ht="15" customHeight="1" x14ac:dyDescent="0.3">
      <c r="A81" s="26" t="s">
        <v>61</v>
      </c>
      <c r="B81" s="27" t="s">
        <v>85</v>
      </c>
      <c r="C81" s="28" t="s">
        <v>86</v>
      </c>
      <c r="D81" s="4">
        <v>2024</v>
      </c>
      <c r="E81" s="5">
        <v>777.81104500000004</v>
      </c>
      <c r="F81" s="5">
        <f t="shared" si="4"/>
        <v>293.70145059200001</v>
      </c>
      <c r="G81" s="6">
        <f t="shared" si="5"/>
        <v>484.10959440800002</v>
      </c>
      <c r="H81" s="5">
        <v>273.59139800000003</v>
      </c>
      <c r="I81" s="5">
        <f t="shared" si="6"/>
        <v>210.51819640799999</v>
      </c>
      <c r="J81" s="5">
        <v>87.83869</v>
      </c>
      <c r="K81" s="5">
        <v>4970.4855639999996</v>
      </c>
      <c r="L81" s="5">
        <v>1424.872891</v>
      </c>
      <c r="M81" s="5">
        <v>3542.8094489999999</v>
      </c>
      <c r="N81" s="6">
        <v>3642.5102649999999</v>
      </c>
      <c r="O81" s="8">
        <v>310681000</v>
      </c>
      <c r="P81" s="29">
        <f t="shared" si="7"/>
        <v>1.5582207937015781E-4</v>
      </c>
    </row>
    <row r="82" spans="1:16" ht="15" hidden="1" customHeight="1" x14ac:dyDescent="0.3">
      <c r="A82" s="26" t="s">
        <v>61</v>
      </c>
      <c r="B82" s="27" t="s">
        <v>87</v>
      </c>
      <c r="C82" s="28" t="s">
        <v>88</v>
      </c>
      <c r="D82" s="4">
        <v>2017</v>
      </c>
      <c r="E82" s="5">
        <v>200.52856199999999</v>
      </c>
      <c r="F82" s="5">
        <f t="shared" si="4"/>
        <v>75.719585011199996</v>
      </c>
      <c r="G82" s="6">
        <f t="shared" si="5"/>
        <v>124.8089769888</v>
      </c>
      <c r="H82" s="5">
        <v>125.48039799999999</v>
      </c>
      <c r="I82" s="5">
        <f t="shared" si="6"/>
        <v>-0.67142101119999609</v>
      </c>
      <c r="J82" s="5">
        <v>15.889036000000001</v>
      </c>
      <c r="K82" s="5">
        <v>221.19589999999999</v>
      </c>
      <c r="L82" s="5">
        <v>73.086229000000003</v>
      </c>
      <c r="M82" s="5">
        <v>148.10967099999999</v>
      </c>
      <c r="N82" s="6">
        <v>198.247906</v>
      </c>
      <c r="O82" s="8">
        <v>179315000</v>
      </c>
      <c r="P82" s="29">
        <f t="shared" si="7"/>
        <v>6.960319939146195E-5</v>
      </c>
    </row>
    <row r="83" spans="1:16" ht="15" hidden="1" customHeight="1" x14ac:dyDescent="0.3">
      <c r="A83" s="30" t="s">
        <v>61</v>
      </c>
      <c r="B83" s="23" t="s">
        <v>87</v>
      </c>
      <c r="C83" s="24" t="s">
        <v>88</v>
      </c>
      <c r="D83" s="10">
        <v>2018</v>
      </c>
      <c r="E83" s="11">
        <v>204.64546000000001</v>
      </c>
      <c r="F83" s="11">
        <f t="shared" si="4"/>
        <v>77.274125695999999</v>
      </c>
      <c r="G83" s="12">
        <f t="shared" si="5"/>
        <v>127.37133430400002</v>
      </c>
      <c r="H83" s="11">
        <v>129.358632</v>
      </c>
      <c r="I83" s="11">
        <f t="shared" si="6"/>
        <v>-1.9872976959999846</v>
      </c>
      <c r="J83" s="11">
        <v>8.7676049999999996</v>
      </c>
      <c r="K83" s="11">
        <v>422.48599000000002</v>
      </c>
      <c r="L83" s="11">
        <v>137.39223100000001</v>
      </c>
      <c r="M83" s="11">
        <v>285.09375899999998</v>
      </c>
      <c r="N83" s="12">
        <v>380.14270299999998</v>
      </c>
      <c r="O83" s="14">
        <v>189435000</v>
      </c>
      <c r="P83" s="31">
        <f t="shared" si="7"/>
        <v>6.7237487425238213E-5</v>
      </c>
    </row>
    <row r="84" spans="1:16" ht="15" hidden="1" customHeight="1" x14ac:dyDescent="0.3">
      <c r="A84" s="26" t="s">
        <v>61</v>
      </c>
      <c r="B84" s="27" t="s">
        <v>119</v>
      </c>
      <c r="C84" s="28" t="s">
        <v>120</v>
      </c>
      <c r="D84" s="4">
        <v>2021</v>
      </c>
      <c r="E84" s="5">
        <v>616.551017</v>
      </c>
      <c r="F84" s="5">
        <f t="shared" si="4"/>
        <v>232.8096640192</v>
      </c>
      <c r="G84" s="6">
        <f t="shared" si="5"/>
        <v>383.7413529808</v>
      </c>
      <c r="H84" s="5">
        <v>318.78371700000002</v>
      </c>
      <c r="I84" s="5">
        <f t="shared" si="6"/>
        <v>64.957635980799978</v>
      </c>
      <c r="J84" s="5">
        <v>-318.14742999999999</v>
      </c>
      <c r="K84" s="5">
        <v>7831.7443750000002</v>
      </c>
      <c r="L84" s="5">
        <v>4770.9112180000002</v>
      </c>
      <c r="M84" s="5">
        <v>2974.1863979999998</v>
      </c>
      <c r="N84" s="6">
        <v>3697.6398180000001</v>
      </c>
      <c r="O84" s="8">
        <v>239556000</v>
      </c>
      <c r="P84" s="29">
        <f t="shared" si="7"/>
        <v>1.6018857928033528E-4</v>
      </c>
    </row>
    <row r="85" spans="1:16" ht="15" hidden="1" customHeight="1" x14ac:dyDescent="0.3">
      <c r="A85" s="26" t="s">
        <v>61</v>
      </c>
      <c r="B85" s="27" t="s">
        <v>119</v>
      </c>
      <c r="C85" s="28" t="s">
        <v>120</v>
      </c>
      <c r="D85" s="4">
        <v>2022</v>
      </c>
      <c r="E85" s="5">
        <v>907.44564500000001</v>
      </c>
      <c r="F85" s="5">
        <f t="shared" si="4"/>
        <v>342.65147555200002</v>
      </c>
      <c r="G85" s="6">
        <f t="shared" si="5"/>
        <v>564.79416944800005</v>
      </c>
      <c r="H85" s="5">
        <v>364.702337</v>
      </c>
      <c r="I85" s="5">
        <f t="shared" si="6"/>
        <v>200.09183244800005</v>
      </c>
      <c r="J85" s="5">
        <v>-473.064301</v>
      </c>
      <c r="K85" s="5">
        <v>6889.2949920000001</v>
      </c>
      <c r="L85" s="5">
        <v>4303.7794379999996</v>
      </c>
      <c r="M85" s="5">
        <v>2482.7555550000002</v>
      </c>
      <c r="N85" s="6">
        <v>3496.509646</v>
      </c>
      <c r="O85" s="8">
        <v>262954000</v>
      </c>
      <c r="P85" s="29">
        <f t="shared" si="7"/>
        <v>2.1478820228937383E-4</v>
      </c>
    </row>
    <row r="86" spans="1:16" ht="15" hidden="1" customHeight="1" x14ac:dyDescent="0.3">
      <c r="A86" s="30" t="s">
        <v>61</v>
      </c>
      <c r="B86" s="23" t="s">
        <v>119</v>
      </c>
      <c r="C86" s="24" t="s">
        <v>120</v>
      </c>
      <c r="D86" s="10">
        <v>2022</v>
      </c>
      <c r="E86" s="11">
        <v>2872.8417279999999</v>
      </c>
      <c r="F86" s="11">
        <f t="shared" si="4"/>
        <v>1084.7850364927999</v>
      </c>
      <c r="G86" s="12">
        <f t="shared" si="5"/>
        <v>1788.0566915072</v>
      </c>
      <c r="H86" s="11">
        <v>933.61863500000004</v>
      </c>
      <c r="I86" s="11">
        <f t="shared" si="6"/>
        <v>854.43805650719992</v>
      </c>
      <c r="J86" s="11">
        <v>115.01714</v>
      </c>
      <c r="K86" s="11">
        <v>6889.2949920000001</v>
      </c>
      <c r="L86" s="11">
        <v>4303.7794379999996</v>
      </c>
      <c r="M86" s="11">
        <v>2482.7555550000002</v>
      </c>
      <c r="N86" s="12">
        <v>3496.509646</v>
      </c>
      <c r="O86" s="14">
        <v>262954000</v>
      </c>
      <c r="P86" s="31">
        <f t="shared" si="7"/>
        <v>6.7998839778333857E-4</v>
      </c>
    </row>
    <row r="87" spans="1:16" ht="15" hidden="1" customHeight="1" x14ac:dyDescent="0.3">
      <c r="A87" s="26" t="s">
        <v>61</v>
      </c>
      <c r="B87" s="27" t="s">
        <v>119</v>
      </c>
      <c r="C87" s="28" t="s">
        <v>120</v>
      </c>
      <c r="D87" s="4">
        <v>2023</v>
      </c>
      <c r="E87" s="5">
        <v>1105.34149</v>
      </c>
      <c r="F87" s="5">
        <f t="shared" si="4"/>
        <v>417.37694662399997</v>
      </c>
      <c r="G87" s="6">
        <f t="shared" si="5"/>
        <v>687.96454337600005</v>
      </c>
      <c r="H87" s="5">
        <v>377.16262699999999</v>
      </c>
      <c r="I87" s="5">
        <f t="shared" si="6"/>
        <v>310.80191637600007</v>
      </c>
      <c r="J87" s="5">
        <v>112.30384100000001</v>
      </c>
      <c r="K87" s="5">
        <v>6091.6447870000002</v>
      </c>
      <c r="L87" s="5">
        <v>3829.613253</v>
      </c>
      <c r="M87" s="5">
        <v>2171.8095990000002</v>
      </c>
      <c r="N87" s="6">
        <v>3818.1575069999999</v>
      </c>
      <c r="O87" s="8">
        <v>282097000</v>
      </c>
      <c r="P87" s="29">
        <f t="shared" si="7"/>
        <v>2.4387517179409922E-4</v>
      </c>
    </row>
    <row r="88" spans="1:16" ht="15" customHeight="1" x14ac:dyDescent="0.3">
      <c r="A88" s="30" t="s">
        <v>61</v>
      </c>
      <c r="B88" s="23" t="s">
        <v>127</v>
      </c>
      <c r="C88" s="24" t="s">
        <v>128</v>
      </c>
      <c r="D88" s="10">
        <v>2024</v>
      </c>
      <c r="E88" s="11">
        <v>1581.380719</v>
      </c>
      <c r="F88" s="11">
        <f t="shared" si="4"/>
        <v>597.12935949439998</v>
      </c>
      <c r="G88" s="12">
        <f t="shared" si="5"/>
        <v>984.25135950560002</v>
      </c>
      <c r="H88" s="11">
        <v>614.06970200000001</v>
      </c>
      <c r="I88" s="11">
        <f t="shared" si="6"/>
        <v>370.18165750560001</v>
      </c>
      <c r="J88" s="11">
        <v>78.767931000000004</v>
      </c>
      <c r="K88" s="11">
        <v>9645.0930320000007</v>
      </c>
      <c r="L88" s="11">
        <v>5780.9491680000001</v>
      </c>
      <c r="M88" s="11">
        <v>3567.8463320000001</v>
      </c>
      <c r="N88" s="12">
        <v>7236.6893239999999</v>
      </c>
      <c r="O88" s="14">
        <v>310681000</v>
      </c>
      <c r="P88" s="31">
        <f t="shared" si="7"/>
        <v>3.1680449062079753E-4</v>
      </c>
    </row>
    <row r="89" spans="1:16" ht="15" hidden="1" customHeight="1" x14ac:dyDescent="0.3">
      <c r="A89" s="30" t="s">
        <v>61</v>
      </c>
      <c r="B89" s="23" t="s">
        <v>64</v>
      </c>
      <c r="C89" s="24" t="s">
        <v>65</v>
      </c>
      <c r="D89" s="10">
        <v>2014</v>
      </c>
      <c r="E89" s="71">
        <v>0.75957699999999995</v>
      </c>
      <c r="F89" s="11">
        <f t="shared" si="4"/>
        <v>0.28681627519999997</v>
      </c>
      <c r="G89" s="12">
        <f t="shared" si="5"/>
        <v>0.47276072479999998</v>
      </c>
      <c r="H89" s="11">
        <v>3.867388</v>
      </c>
      <c r="I89" s="11">
        <f t="shared" si="6"/>
        <v>-3.3946272752</v>
      </c>
      <c r="J89" s="11">
        <v>-6.8529239999999998</v>
      </c>
      <c r="K89" s="11">
        <v>53.964438000000001</v>
      </c>
      <c r="L89" s="11">
        <v>19.068256999999999</v>
      </c>
      <c r="M89" s="11">
        <v>33.013376000000001</v>
      </c>
      <c r="N89" s="12">
        <v>26.119924000000001</v>
      </c>
      <c r="O89" s="14">
        <v>144706000</v>
      </c>
      <c r="P89" s="31">
        <f t="shared" si="7"/>
        <v>3.2670430030544692E-7</v>
      </c>
    </row>
    <row r="90" spans="1:16" ht="15" hidden="1" customHeight="1" x14ac:dyDescent="0.3">
      <c r="A90" s="26" t="s">
        <v>61</v>
      </c>
      <c r="B90" s="27" t="s">
        <v>64</v>
      </c>
      <c r="C90" s="28" t="s">
        <v>65</v>
      </c>
      <c r="D90" s="4">
        <v>2015</v>
      </c>
      <c r="E90" s="5">
        <v>17.866682000000001</v>
      </c>
      <c r="F90" s="5">
        <f t="shared" si="4"/>
        <v>6.7464591232000002</v>
      </c>
      <c r="G90" s="6">
        <f t="shared" si="5"/>
        <v>11.1202228768</v>
      </c>
      <c r="H90" s="5">
        <v>12.108712000000001</v>
      </c>
      <c r="I90" s="5">
        <f t="shared" si="6"/>
        <v>-0.98848912320000082</v>
      </c>
      <c r="J90" s="5">
        <v>-39.372531000000002</v>
      </c>
      <c r="K90" s="5">
        <v>125.059015</v>
      </c>
      <c r="L90" s="5">
        <v>9.1925840000000001</v>
      </c>
      <c r="M90" s="5">
        <v>114.953873</v>
      </c>
      <c r="N90" s="6">
        <v>102.56494600000001</v>
      </c>
      <c r="O90" s="8">
        <v>158623000</v>
      </c>
      <c r="P90" s="29">
        <f t="shared" si="7"/>
        <v>7.0104731828297285E-6</v>
      </c>
    </row>
    <row r="91" spans="1:16" ht="15" hidden="1" customHeight="1" x14ac:dyDescent="0.3">
      <c r="A91" s="26" t="s">
        <v>61</v>
      </c>
      <c r="B91" s="27" t="s">
        <v>64</v>
      </c>
      <c r="C91" s="28" t="s">
        <v>65</v>
      </c>
      <c r="D91" s="4">
        <v>2016</v>
      </c>
      <c r="E91" s="5">
        <v>45.560436000000003</v>
      </c>
      <c r="F91" s="5">
        <f t="shared" si="4"/>
        <v>17.2036206336</v>
      </c>
      <c r="G91" s="6">
        <f t="shared" si="5"/>
        <v>28.356815366400003</v>
      </c>
      <c r="H91" s="5">
        <v>25.143661999999999</v>
      </c>
      <c r="I91" s="5">
        <f t="shared" si="6"/>
        <v>3.2131533664000038</v>
      </c>
      <c r="J91" s="5">
        <v>-33.583427999999998</v>
      </c>
      <c r="K91" s="5"/>
      <c r="L91" s="5"/>
      <c r="M91" s="5"/>
      <c r="N91" s="6"/>
      <c r="O91" s="8">
        <v>168765000</v>
      </c>
      <c r="P91" s="29">
        <f t="shared" si="7"/>
        <v>1.680254517607324E-5</v>
      </c>
    </row>
    <row r="92" spans="1:16" ht="15" hidden="1" customHeight="1" x14ac:dyDescent="0.3">
      <c r="A92" s="30" t="s">
        <v>61</v>
      </c>
      <c r="B92" s="23" t="s">
        <v>64</v>
      </c>
      <c r="C92" s="24" t="s">
        <v>65</v>
      </c>
      <c r="D92" s="10">
        <v>2017</v>
      </c>
      <c r="E92" s="11">
        <v>61.948441000000003</v>
      </c>
      <c r="F92" s="11">
        <f t="shared" si="4"/>
        <v>23.391731321600002</v>
      </c>
      <c r="G92" s="12">
        <f t="shared" si="5"/>
        <v>38.556709678399997</v>
      </c>
      <c r="H92" s="11">
        <v>32.888181000000003</v>
      </c>
      <c r="I92" s="11">
        <f t="shared" si="6"/>
        <v>5.6685286783999942</v>
      </c>
      <c r="J92" s="11">
        <v>-24.558802</v>
      </c>
      <c r="K92" s="11"/>
      <c r="L92" s="11"/>
      <c r="M92" s="11"/>
      <c r="N92" s="12"/>
      <c r="O92" s="14">
        <v>179315000</v>
      </c>
      <c r="P92" s="31">
        <f t="shared" si="7"/>
        <v>2.1502222166801437E-5</v>
      </c>
    </row>
    <row r="93" spans="1:16" ht="15" hidden="1" customHeight="1" x14ac:dyDescent="0.3">
      <c r="A93" s="30" t="s">
        <v>61</v>
      </c>
      <c r="B93" s="23" t="s">
        <v>64</v>
      </c>
      <c r="C93" s="24" t="s">
        <v>65</v>
      </c>
      <c r="D93" s="10">
        <v>2023</v>
      </c>
      <c r="E93" s="11">
        <v>452.213393</v>
      </c>
      <c r="F93" s="11">
        <f t="shared" si="4"/>
        <v>170.75577719679998</v>
      </c>
      <c r="G93" s="12">
        <f t="shared" si="5"/>
        <v>281.45761580320004</v>
      </c>
      <c r="H93" s="11">
        <v>201.05809600000001</v>
      </c>
      <c r="I93" s="11">
        <f t="shared" si="6"/>
        <v>80.399519803200036</v>
      </c>
      <c r="J93" s="11">
        <v>54.090325999999997</v>
      </c>
      <c r="K93" s="11">
        <v>1337.9665910000001</v>
      </c>
      <c r="L93" s="11">
        <v>601.06946400000004</v>
      </c>
      <c r="M93" s="11">
        <v>646.10521600000004</v>
      </c>
      <c r="N93" s="12">
        <v>1234.660018</v>
      </c>
      <c r="O93" s="14">
        <v>282097000</v>
      </c>
      <c r="P93" s="31">
        <f t="shared" si="7"/>
        <v>9.9773345977872879E-5</v>
      </c>
    </row>
    <row r="94" spans="1:16" ht="15" customHeight="1" x14ac:dyDescent="0.3">
      <c r="A94" s="26" t="s">
        <v>61</v>
      </c>
      <c r="B94" s="27" t="s">
        <v>64</v>
      </c>
      <c r="C94" s="28" t="s">
        <v>65</v>
      </c>
      <c r="D94" s="4">
        <v>2024</v>
      </c>
      <c r="E94" s="5">
        <v>524.46466999999996</v>
      </c>
      <c r="F94" s="5">
        <f t="shared" si="4"/>
        <v>198.03785939199997</v>
      </c>
      <c r="G94" s="6">
        <f t="shared" si="5"/>
        <v>326.42681060799998</v>
      </c>
      <c r="H94" s="5">
        <v>230.39643599999999</v>
      </c>
      <c r="I94" s="5">
        <f t="shared" si="6"/>
        <v>96.030374607999988</v>
      </c>
      <c r="J94" s="5">
        <v>87.445130000000006</v>
      </c>
      <c r="K94" s="5">
        <v>1564.5808890000001</v>
      </c>
      <c r="L94" s="5">
        <v>785.34231199999999</v>
      </c>
      <c r="M94" s="5">
        <v>572.68151399999999</v>
      </c>
      <c r="N94" s="6">
        <v>1473.8918659999999</v>
      </c>
      <c r="O94" s="8">
        <v>310681000</v>
      </c>
      <c r="P94" s="29">
        <f t="shared" si="7"/>
        <v>1.0506816014110938E-4</v>
      </c>
    </row>
    <row r="95" spans="1:16" ht="15" hidden="1" customHeight="1" x14ac:dyDescent="0.3">
      <c r="A95" s="26" t="s">
        <v>61</v>
      </c>
      <c r="B95" s="27" t="s">
        <v>89</v>
      </c>
      <c r="C95" s="28" t="s">
        <v>90</v>
      </c>
      <c r="D95" s="4">
        <v>2017</v>
      </c>
      <c r="E95" s="5">
        <v>273.17733199999998</v>
      </c>
      <c r="F95" s="5">
        <f t="shared" si="4"/>
        <v>103.15176056319999</v>
      </c>
      <c r="G95" s="6">
        <f t="shared" si="5"/>
        <v>170.02557143679999</v>
      </c>
      <c r="H95" s="5">
        <v>78.846154999999996</v>
      </c>
      <c r="I95" s="5">
        <f t="shared" si="6"/>
        <v>91.179416436799997</v>
      </c>
      <c r="J95" s="5">
        <v>88.185051000000001</v>
      </c>
      <c r="K95" s="5">
        <v>1535.0639739999999</v>
      </c>
      <c r="L95" s="5">
        <v>1501.946743</v>
      </c>
      <c r="M95" s="5">
        <v>1.7483249999999999</v>
      </c>
      <c r="N95" s="6">
        <v>1155.9156780000001</v>
      </c>
      <c r="O95" s="8">
        <v>179315000</v>
      </c>
      <c r="P95" s="29">
        <f t="shared" si="7"/>
        <v>9.4819491641413156E-5</v>
      </c>
    </row>
    <row r="96" spans="1:16" ht="15" hidden="1" customHeight="1" x14ac:dyDescent="0.3">
      <c r="A96" s="26" t="s">
        <v>61</v>
      </c>
      <c r="B96" s="27" t="s">
        <v>89</v>
      </c>
      <c r="C96" s="28" t="s">
        <v>90</v>
      </c>
      <c r="D96" s="4">
        <v>2023</v>
      </c>
      <c r="E96" s="5">
        <v>677.231944</v>
      </c>
      <c r="F96" s="5">
        <f t="shared" si="4"/>
        <v>255.7227820544</v>
      </c>
      <c r="G96" s="6">
        <f t="shared" si="5"/>
        <v>421.5091619456</v>
      </c>
      <c r="H96" s="5">
        <v>108.19998699999999</v>
      </c>
      <c r="I96" s="5">
        <f t="shared" si="6"/>
        <v>313.30917494560003</v>
      </c>
      <c r="J96" s="5">
        <v>277.95685400000002</v>
      </c>
      <c r="K96" s="5">
        <v>3804.4687859999999</v>
      </c>
      <c r="L96" s="5">
        <v>3746.9455119999998</v>
      </c>
      <c r="M96" s="5">
        <v>0</v>
      </c>
      <c r="N96" s="6">
        <v>3420.1259180000002</v>
      </c>
      <c r="O96" s="8">
        <v>282097000</v>
      </c>
      <c r="P96" s="29">
        <f t="shared" si="7"/>
        <v>1.494199378035215E-4</v>
      </c>
    </row>
    <row r="97" spans="1:16" ht="15" customHeight="1" x14ac:dyDescent="0.3">
      <c r="A97" s="30" t="s">
        <v>61</v>
      </c>
      <c r="B97" s="23" t="s">
        <v>89</v>
      </c>
      <c r="C97" s="24" t="s">
        <v>90</v>
      </c>
      <c r="D97" s="10">
        <v>2024</v>
      </c>
      <c r="E97" s="11">
        <v>722.32977500000004</v>
      </c>
      <c r="F97" s="11">
        <f t="shared" si="4"/>
        <v>272.75172304</v>
      </c>
      <c r="G97" s="12">
        <f t="shared" si="5"/>
        <v>449.57805196000004</v>
      </c>
      <c r="H97" s="11">
        <v>138.75730200000001</v>
      </c>
      <c r="I97" s="11">
        <f t="shared" si="6"/>
        <v>310.82074996000006</v>
      </c>
      <c r="J97" s="11">
        <v>219.94930600000001</v>
      </c>
      <c r="K97" s="11">
        <v>4210.4794119999997</v>
      </c>
      <c r="L97" s="11">
        <v>3409.9760430000001</v>
      </c>
      <c r="M97" s="11">
        <v>756.57864300000006</v>
      </c>
      <c r="N97" s="12">
        <v>3393.4498960000001</v>
      </c>
      <c r="O97" s="14">
        <v>310681000</v>
      </c>
      <c r="P97" s="31">
        <f t="shared" si="7"/>
        <v>1.4470728881392812E-4</v>
      </c>
    </row>
    <row r="98" spans="1:16" ht="15" hidden="1" customHeight="1" x14ac:dyDescent="0.3">
      <c r="A98" s="26" t="s">
        <v>61</v>
      </c>
      <c r="B98" s="27" t="s">
        <v>97</v>
      </c>
      <c r="C98" s="28" t="s">
        <v>98</v>
      </c>
      <c r="D98" s="4">
        <v>2018</v>
      </c>
      <c r="E98" s="5">
        <v>0.30822699999999997</v>
      </c>
      <c r="F98" s="5">
        <f t="shared" si="4"/>
        <v>0.11638651519999998</v>
      </c>
      <c r="G98" s="6">
        <f t="shared" si="5"/>
        <v>0.19184048479999999</v>
      </c>
      <c r="H98" s="5">
        <v>0.112391</v>
      </c>
      <c r="I98" s="5">
        <f t="shared" si="6"/>
        <v>7.9449484799999984E-2</v>
      </c>
      <c r="J98" s="5">
        <v>6.1936999999999999E-2</v>
      </c>
      <c r="K98" s="5">
        <v>3.3196249999999998</v>
      </c>
      <c r="L98" s="5">
        <v>1.281879</v>
      </c>
      <c r="M98" s="5">
        <v>1.4125970000000001</v>
      </c>
      <c r="N98" s="6">
        <v>3.075634</v>
      </c>
      <c r="O98" s="8">
        <v>189435000</v>
      </c>
      <c r="P98" s="29">
        <f t="shared" si="7"/>
        <v>1.0126982067727716E-7</v>
      </c>
    </row>
    <row r="99" spans="1:16" ht="15" hidden="1" customHeight="1" x14ac:dyDescent="0.3">
      <c r="A99" s="26" t="s">
        <v>61</v>
      </c>
      <c r="B99" s="27" t="s">
        <v>97</v>
      </c>
      <c r="C99" s="28" t="s">
        <v>98</v>
      </c>
      <c r="D99" s="4">
        <v>2019</v>
      </c>
      <c r="E99" s="5">
        <v>0.35128599999999999</v>
      </c>
      <c r="F99" s="5">
        <f t="shared" si="4"/>
        <v>0.1326455936</v>
      </c>
      <c r="G99" s="6">
        <f t="shared" si="5"/>
        <v>0.21864040639999999</v>
      </c>
      <c r="H99" s="5">
        <v>0.12639400000000001</v>
      </c>
      <c r="I99" s="5">
        <f t="shared" si="6"/>
        <v>9.2246406399999981E-2</v>
      </c>
      <c r="J99" s="5">
        <v>7.3941999999999994E-2</v>
      </c>
      <c r="K99" s="5">
        <v>3.317151</v>
      </c>
      <c r="L99" s="5">
        <v>1.388231</v>
      </c>
      <c r="M99" s="5">
        <v>1.246578</v>
      </c>
      <c r="N99" s="6">
        <v>2.8054380000000001</v>
      </c>
      <c r="O99" s="8">
        <v>195548000</v>
      </c>
      <c r="P99" s="29">
        <f t="shared" si="7"/>
        <v>1.1180907316873605E-7</v>
      </c>
    </row>
    <row r="100" spans="1:16" ht="15" hidden="1" customHeight="1" x14ac:dyDescent="0.3">
      <c r="A100" s="26" t="s">
        <v>61</v>
      </c>
      <c r="B100" s="27" t="s">
        <v>97</v>
      </c>
      <c r="C100" s="28" t="s">
        <v>98</v>
      </c>
      <c r="D100" s="4">
        <v>2020</v>
      </c>
      <c r="E100" s="5">
        <v>0.244807</v>
      </c>
      <c r="F100" s="5">
        <f t="shared" si="4"/>
        <v>9.2439123200000001E-2</v>
      </c>
      <c r="G100" s="6">
        <f t="shared" si="5"/>
        <v>0.1523678768</v>
      </c>
      <c r="H100" s="5">
        <v>0.12536700000000001</v>
      </c>
      <c r="I100" s="5">
        <f t="shared" si="6"/>
        <v>2.700087679999999E-2</v>
      </c>
      <c r="J100" s="5">
        <v>6.3536999999999996E-2</v>
      </c>
      <c r="K100" s="5">
        <v>3.3297720000000002</v>
      </c>
      <c r="L100" s="5">
        <v>1.4432480000000001</v>
      </c>
      <c r="M100" s="5">
        <v>1.343456</v>
      </c>
      <c r="N100" s="6">
        <v>2.5196399999999999</v>
      </c>
      <c r="O100" s="8">
        <v>201307000</v>
      </c>
      <c r="P100" s="29">
        <f t="shared" si="7"/>
        <v>7.5689308767206315E-8</v>
      </c>
    </row>
    <row r="101" spans="1:16" ht="15" hidden="1" customHeight="1" x14ac:dyDescent="0.3">
      <c r="A101" s="30" t="s">
        <v>61</v>
      </c>
      <c r="B101" s="23" t="s">
        <v>97</v>
      </c>
      <c r="C101" s="24" t="s">
        <v>98</v>
      </c>
      <c r="D101" s="10">
        <v>2021</v>
      </c>
      <c r="E101" s="11">
        <v>0.26133600000000001</v>
      </c>
      <c r="F101" s="11">
        <f t="shared" si="4"/>
        <v>9.8680473599999999E-2</v>
      </c>
      <c r="G101" s="12">
        <f t="shared" si="5"/>
        <v>0.16265552640000003</v>
      </c>
      <c r="H101" s="11">
        <v>0.133767</v>
      </c>
      <c r="I101" s="11">
        <f t="shared" si="6"/>
        <v>2.8888526400000031E-2</v>
      </c>
      <c r="J101" s="11">
        <v>4.6878000000000003E-2</v>
      </c>
      <c r="K101" s="11">
        <v>3.5809000000000002</v>
      </c>
      <c r="L101" s="11">
        <v>1.5905469999999999</v>
      </c>
      <c r="M101" s="11">
        <v>1.5553699999999999</v>
      </c>
      <c r="N101" s="12"/>
      <c r="O101" s="14">
        <v>239556000</v>
      </c>
      <c r="P101" s="31">
        <f t="shared" si="7"/>
        <v>6.7898748685067387E-8</v>
      </c>
    </row>
    <row r="102" spans="1:16" ht="15" hidden="1" customHeight="1" x14ac:dyDescent="0.3">
      <c r="A102" s="26" t="s">
        <v>61</v>
      </c>
      <c r="B102" s="27" t="s">
        <v>97</v>
      </c>
      <c r="C102" s="28" t="s">
        <v>98</v>
      </c>
      <c r="D102" s="4">
        <v>2022</v>
      </c>
      <c r="E102" s="5">
        <v>611.01700000000005</v>
      </c>
      <c r="F102" s="5">
        <f t="shared" si="4"/>
        <v>230.72001920000002</v>
      </c>
      <c r="G102" s="6">
        <f t="shared" si="5"/>
        <v>380.29698080000003</v>
      </c>
      <c r="H102" s="5">
        <v>143.923</v>
      </c>
      <c r="I102" s="5">
        <f t="shared" si="6"/>
        <v>236.37398080000003</v>
      </c>
      <c r="J102" s="5">
        <v>7.7009999999999996</v>
      </c>
      <c r="K102" s="5">
        <v>3455.3240000000001</v>
      </c>
      <c r="L102" s="5">
        <v>1903.9290000000001</v>
      </c>
      <c r="M102" s="5">
        <v>1350.662</v>
      </c>
      <c r="N102" s="6"/>
      <c r="O102" s="8">
        <v>262954000</v>
      </c>
      <c r="P102" s="29">
        <f t="shared" si="7"/>
        <v>1.4462490808278257E-4</v>
      </c>
    </row>
    <row r="103" spans="1:16" ht="15" hidden="1" customHeight="1" x14ac:dyDescent="0.3">
      <c r="A103" s="30" t="s">
        <v>61</v>
      </c>
      <c r="B103" s="23" t="s">
        <v>97</v>
      </c>
      <c r="C103" s="24" t="s">
        <v>98</v>
      </c>
      <c r="D103" s="10">
        <v>2023</v>
      </c>
      <c r="E103" s="11">
        <v>448.93299999999999</v>
      </c>
      <c r="F103" s="11">
        <f t="shared" si="4"/>
        <v>169.51710079999998</v>
      </c>
      <c r="G103" s="12">
        <f t="shared" si="5"/>
        <v>279.41589920000001</v>
      </c>
      <c r="H103" s="11">
        <v>253.25200000000001</v>
      </c>
      <c r="I103" s="11">
        <f t="shared" si="6"/>
        <v>26.163899200000003</v>
      </c>
      <c r="J103" s="11">
        <v>-223.79900000000001</v>
      </c>
      <c r="K103" s="11">
        <v>3312.8910000000001</v>
      </c>
      <c r="L103" s="11">
        <v>1686.759</v>
      </c>
      <c r="M103" s="11">
        <v>1420.8969999999999</v>
      </c>
      <c r="N103" s="12"/>
      <c r="O103" s="14">
        <v>282097000</v>
      </c>
      <c r="P103" s="31">
        <f t="shared" si="7"/>
        <v>9.9049581952307192E-5</v>
      </c>
    </row>
    <row r="104" spans="1:16" ht="15" hidden="1" customHeight="1" x14ac:dyDescent="0.3">
      <c r="A104" s="30" t="s">
        <v>61</v>
      </c>
      <c r="B104" s="23" t="s">
        <v>93</v>
      </c>
      <c r="C104" s="24" t="s">
        <v>94</v>
      </c>
      <c r="D104" s="10">
        <v>2018</v>
      </c>
      <c r="E104" s="11">
        <v>101.41183100000001</v>
      </c>
      <c r="F104" s="11">
        <f t="shared" si="4"/>
        <v>38.293107385600003</v>
      </c>
      <c r="G104" s="12">
        <f t="shared" si="5"/>
        <v>63.118723614400004</v>
      </c>
      <c r="H104" s="11">
        <v>43.011158000000002</v>
      </c>
      <c r="I104" s="11">
        <f t="shared" si="6"/>
        <v>20.107565614400002</v>
      </c>
      <c r="J104" s="11">
        <v>-12.133134</v>
      </c>
      <c r="K104" s="11">
        <v>515.32727199999999</v>
      </c>
      <c r="L104" s="11">
        <v>62.661434999999997</v>
      </c>
      <c r="M104" s="11">
        <v>433.31793699999997</v>
      </c>
      <c r="N104" s="12">
        <v>457.92540000000002</v>
      </c>
      <c r="O104" s="14">
        <v>189435000</v>
      </c>
      <c r="P104" s="31">
        <f t="shared" si="7"/>
        <v>3.3319462408952943E-5</v>
      </c>
    </row>
    <row r="105" spans="1:16" ht="15" hidden="1" customHeight="1" x14ac:dyDescent="0.3">
      <c r="A105" s="26" t="s">
        <v>61</v>
      </c>
      <c r="B105" s="27" t="s">
        <v>95</v>
      </c>
      <c r="C105" s="28" t="s">
        <v>96</v>
      </c>
      <c r="D105" s="4">
        <v>2018</v>
      </c>
      <c r="E105" s="5">
        <v>2617.4222140000002</v>
      </c>
      <c r="F105" s="5">
        <f t="shared" si="4"/>
        <v>988.33862800640009</v>
      </c>
      <c r="G105" s="6">
        <f t="shared" si="5"/>
        <v>1629.0835859936001</v>
      </c>
      <c r="H105" s="5">
        <v>1127.8540800000001</v>
      </c>
      <c r="I105" s="5">
        <f t="shared" si="6"/>
        <v>501.22950599360001</v>
      </c>
      <c r="J105" s="5">
        <v>276.86880500000001</v>
      </c>
      <c r="K105" s="5">
        <v>13206.215371</v>
      </c>
      <c r="L105" s="5"/>
      <c r="M105" s="5"/>
      <c r="N105" s="6">
        <v>11600.089044</v>
      </c>
      <c r="O105" s="8">
        <v>189435000</v>
      </c>
      <c r="P105" s="29">
        <f t="shared" si="7"/>
        <v>8.5996969197540062E-4</v>
      </c>
    </row>
    <row r="106" spans="1:16" ht="15" hidden="1" customHeight="1" x14ac:dyDescent="0.3">
      <c r="A106" s="30" t="s">
        <v>61</v>
      </c>
      <c r="B106" s="23" t="s">
        <v>95</v>
      </c>
      <c r="C106" s="24" t="s">
        <v>96</v>
      </c>
      <c r="D106" s="10">
        <v>2022</v>
      </c>
      <c r="E106" s="11">
        <v>2631.3679059999999</v>
      </c>
      <c r="F106" s="11">
        <f t="shared" si="4"/>
        <v>993.60452130559997</v>
      </c>
      <c r="G106" s="12">
        <f t="shared" si="5"/>
        <v>1637.7633846944</v>
      </c>
      <c r="H106" s="11">
        <v>1596.0623129999999</v>
      </c>
      <c r="I106" s="11">
        <f t="shared" si="6"/>
        <v>41.701071694400071</v>
      </c>
      <c r="J106" s="11">
        <v>-1269.937664</v>
      </c>
      <c r="K106" s="11">
        <v>13905.14855</v>
      </c>
      <c r="L106" s="11">
        <v>6571.0612469999996</v>
      </c>
      <c r="M106" s="11">
        <v>5127.6092900000003</v>
      </c>
      <c r="N106" s="12">
        <v>11651.739734000001</v>
      </c>
      <c r="O106" s="14">
        <v>262954000</v>
      </c>
      <c r="P106" s="31">
        <f t="shared" si="7"/>
        <v>6.2283265692645857E-4</v>
      </c>
    </row>
    <row r="107" spans="1:16" ht="15" hidden="1" customHeight="1" x14ac:dyDescent="0.3">
      <c r="A107" s="26" t="s">
        <v>61</v>
      </c>
      <c r="B107" s="27" t="s">
        <v>95</v>
      </c>
      <c r="C107" s="28" t="s">
        <v>96</v>
      </c>
      <c r="D107" s="4">
        <v>2023</v>
      </c>
      <c r="E107" s="5">
        <v>4050.8598419999998</v>
      </c>
      <c r="F107" s="5">
        <f t="shared" si="4"/>
        <v>1529.6046763391998</v>
      </c>
      <c r="G107" s="6">
        <f t="shared" si="5"/>
        <v>2521.2551656608002</v>
      </c>
      <c r="H107" s="5">
        <v>1590.6102249999999</v>
      </c>
      <c r="I107" s="5">
        <f t="shared" si="6"/>
        <v>930.64494066080033</v>
      </c>
      <c r="J107" s="5">
        <v>139.98412500000001</v>
      </c>
      <c r="K107" s="5">
        <v>16601.979148999999</v>
      </c>
      <c r="L107" s="5">
        <v>7406.6066220000002</v>
      </c>
      <c r="M107" s="5">
        <v>8892.5317429999996</v>
      </c>
      <c r="N107" s="6">
        <v>13754.827373</v>
      </c>
      <c r="O107" s="8">
        <v>282097000</v>
      </c>
      <c r="P107" s="29">
        <f t="shared" si="7"/>
        <v>8.9375468922420307E-4</v>
      </c>
    </row>
    <row r="108" spans="1:16" ht="15" customHeight="1" x14ac:dyDescent="0.3">
      <c r="A108" s="26" t="s">
        <v>61</v>
      </c>
      <c r="B108" s="27" t="s">
        <v>95</v>
      </c>
      <c r="C108" s="28" t="s">
        <v>96</v>
      </c>
      <c r="D108" s="4">
        <v>2024</v>
      </c>
      <c r="E108" s="5">
        <v>96.950816000000003</v>
      </c>
      <c r="F108" s="5">
        <f t="shared" si="4"/>
        <v>36.608628121599999</v>
      </c>
      <c r="G108" s="6">
        <f t="shared" si="5"/>
        <v>60.342187878400004</v>
      </c>
      <c r="H108" s="5">
        <v>1721.5857140000001</v>
      </c>
      <c r="I108" s="5">
        <f t="shared" si="6"/>
        <v>-1661.2435261216001</v>
      </c>
      <c r="J108" s="5">
        <v>554.22639200000003</v>
      </c>
      <c r="K108" s="5">
        <v>17121.340456999998</v>
      </c>
      <c r="L108" s="5">
        <v>7637.0950780000003</v>
      </c>
      <c r="M108" s="5">
        <v>9371.5784469999999</v>
      </c>
      <c r="N108" s="6">
        <v>14511.341796999999</v>
      </c>
      <c r="O108" s="8">
        <v>310681000</v>
      </c>
      <c r="P108" s="29">
        <f t="shared" si="7"/>
        <v>1.9422554928817665E-5</v>
      </c>
    </row>
    <row r="109" spans="1:16" ht="15" hidden="1" customHeight="1" x14ac:dyDescent="0.3">
      <c r="A109" s="26" t="s">
        <v>61</v>
      </c>
      <c r="B109" s="27" t="s">
        <v>99</v>
      </c>
      <c r="C109" s="28" t="s">
        <v>100</v>
      </c>
      <c r="D109" s="4">
        <v>2018</v>
      </c>
      <c r="E109" s="5">
        <v>267.82774599999999</v>
      </c>
      <c r="F109" s="5">
        <f t="shared" si="4"/>
        <v>101.1317568896</v>
      </c>
      <c r="G109" s="6">
        <f t="shared" si="5"/>
        <v>166.69598911039998</v>
      </c>
      <c r="H109" s="5">
        <v>230.795739</v>
      </c>
      <c r="I109" s="5">
        <f t="shared" si="6"/>
        <v>-64.09974988960002</v>
      </c>
      <c r="J109" s="5">
        <v>-12.996560000000001</v>
      </c>
      <c r="K109" s="5">
        <v>1227.9935640000001</v>
      </c>
      <c r="L109" s="5">
        <v>1153.7999769999999</v>
      </c>
      <c r="M109" s="5">
        <v>52.136125</v>
      </c>
      <c r="N109" s="6">
        <v>628.99059499999998</v>
      </c>
      <c r="O109" s="8">
        <v>189435000</v>
      </c>
      <c r="P109" s="29">
        <f t="shared" si="7"/>
        <v>8.7996404629767452E-5</v>
      </c>
    </row>
    <row r="110" spans="1:16" ht="15" hidden="1" customHeight="1" x14ac:dyDescent="0.3">
      <c r="A110" s="30" t="s">
        <v>61</v>
      </c>
      <c r="B110" s="23" t="s">
        <v>99</v>
      </c>
      <c r="C110" s="24" t="s">
        <v>100</v>
      </c>
      <c r="D110" s="10">
        <v>2019</v>
      </c>
      <c r="E110" s="11">
        <v>277.18419899999998</v>
      </c>
      <c r="F110" s="11">
        <f t="shared" si="4"/>
        <v>104.66475354239999</v>
      </c>
      <c r="G110" s="12">
        <f t="shared" si="5"/>
        <v>172.5194454576</v>
      </c>
      <c r="H110" s="11">
        <v>238.77118300000001</v>
      </c>
      <c r="I110" s="11">
        <f t="shared" si="6"/>
        <v>-66.251737542400008</v>
      </c>
      <c r="J110" s="11">
        <v>21.773688</v>
      </c>
      <c r="K110" s="11">
        <v>1299.260106</v>
      </c>
      <c r="L110" s="11">
        <v>1193.3908919999999</v>
      </c>
      <c r="M110" s="11">
        <v>49.207566</v>
      </c>
      <c r="N110" s="12">
        <v>732.22318099999995</v>
      </c>
      <c r="O110" s="14">
        <v>195548000</v>
      </c>
      <c r="P110" s="31">
        <f t="shared" si="7"/>
        <v>8.8223579610939511E-5</v>
      </c>
    </row>
    <row r="111" spans="1:16" ht="15" hidden="1" customHeight="1" x14ac:dyDescent="0.3">
      <c r="A111" s="26" t="s">
        <v>61</v>
      </c>
      <c r="B111" s="27" t="s">
        <v>99</v>
      </c>
      <c r="C111" s="28" t="s">
        <v>100</v>
      </c>
      <c r="D111" s="4">
        <v>2020</v>
      </c>
      <c r="E111" s="5">
        <v>295.69121699999999</v>
      </c>
      <c r="F111" s="5">
        <f t="shared" si="4"/>
        <v>111.6530035392</v>
      </c>
      <c r="G111" s="6">
        <f t="shared" si="5"/>
        <v>184.03821346079999</v>
      </c>
      <c r="H111" s="5">
        <v>213.26956000000001</v>
      </c>
      <c r="I111" s="5">
        <f t="shared" si="6"/>
        <v>-29.231346539200018</v>
      </c>
      <c r="J111" s="5">
        <v>25.565754999999999</v>
      </c>
      <c r="K111" s="5">
        <v>1360.813709</v>
      </c>
      <c r="L111" s="5">
        <v>1263.1312969999999</v>
      </c>
      <c r="M111" s="5">
        <v>47.910406000000002</v>
      </c>
      <c r="N111" s="6">
        <v>795.74331099999995</v>
      </c>
      <c r="O111" s="8">
        <v>201307000</v>
      </c>
      <c r="P111" s="29">
        <f t="shared" si="7"/>
        <v>9.1421666142160981E-5</v>
      </c>
    </row>
    <row r="112" spans="1:16" ht="15" hidden="1" customHeight="1" x14ac:dyDescent="0.3">
      <c r="A112" s="30" t="s">
        <v>61</v>
      </c>
      <c r="B112" s="23" t="s">
        <v>99</v>
      </c>
      <c r="C112" s="24" t="s">
        <v>100</v>
      </c>
      <c r="D112" s="10">
        <v>2021</v>
      </c>
      <c r="E112" s="11">
        <v>321.61466100000001</v>
      </c>
      <c r="F112" s="11">
        <f>0.3776*E112</f>
        <v>121.44169599360001</v>
      </c>
      <c r="G112" s="12">
        <f>+E112-F112</f>
        <v>200.17296500640001</v>
      </c>
      <c r="H112" s="11">
        <v>262.047819</v>
      </c>
      <c r="I112" s="11">
        <f t="shared" si="6"/>
        <v>-61.874853993599999</v>
      </c>
      <c r="J112" s="11">
        <v>1.4146780000000001</v>
      </c>
      <c r="K112" s="11">
        <v>1570.6295849999999</v>
      </c>
      <c r="L112" s="11">
        <v>1449.0426199999999</v>
      </c>
      <c r="M112" s="11">
        <v>74.755297999999996</v>
      </c>
      <c r="N112" s="12">
        <v>873.999233</v>
      </c>
      <c r="O112" s="14">
        <v>239556000</v>
      </c>
      <c r="P112" s="31">
        <f t="shared" si="7"/>
        <v>8.3559988063918245E-5</v>
      </c>
    </row>
    <row r="113" spans="1:16" ht="15" hidden="1" customHeight="1" x14ac:dyDescent="0.3">
      <c r="A113" s="26" t="s">
        <v>61</v>
      </c>
      <c r="B113" s="27" t="s">
        <v>99</v>
      </c>
      <c r="C113" s="28" t="s">
        <v>100</v>
      </c>
      <c r="D113" s="4">
        <v>2022</v>
      </c>
      <c r="E113" s="5">
        <v>366.852127</v>
      </c>
      <c r="F113" s="5">
        <f t="shared" si="4"/>
        <v>138.5233631552</v>
      </c>
      <c r="G113" s="6">
        <f t="shared" si="5"/>
        <v>228.32876384479999</v>
      </c>
      <c r="H113" s="5">
        <v>267.06059099999999</v>
      </c>
      <c r="I113" s="5">
        <f t="shared" si="6"/>
        <v>-38.731827155199994</v>
      </c>
      <c r="J113" s="5">
        <v>-113.15134399999999</v>
      </c>
      <c r="K113" s="5">
        <v>1489.9048130000001</v>
      </c>
      <c r="L113" s="5">
        <v>1329.044363</v>
      </c>
      <c r="M113" s="5">
        <v>117.07689000000001</v>
      </c>
      <c r="N113" s="6">
        <v>904.05825200000004</v>
      </c>
      <c r="O113" s="8">
        <v>262954000</v>
      </c>
      <c r="P113" s="29">
        <f t="shared" si="7"/>
        <v>8.6832207855670567E-5</v>
      </c>
    </row>
    <row r="114" spans="1:16" ht="15" hidden="1" customHeight="1" x14ac:dyDescent="0.3">
      <c r="A114" s="30" t="s">
        <v>61</v>
      </c>
      <c r="B114" s="23" t="s">
        <v>99</v>
      </c>
      <c r="C114" s="24" t="s">
        <v>100</v>
      </c>
      <c r="D114" s="10">
        <v>2023</v>
      </c>
      <c r="E114" s="11">
        <v>444.64198599999997</v>
      </c>
      <c r="F114" s="11">
        <f t="shared" si="4"/>
        <v>167.8968139136</v>
      </c>
      <c r="G114" s="12">
        <f t="shared" si="5"/>
        <v>276.74517208639998</v>
      </c>
      <c r="H114" s="11">
        <v>305.86236300000002</v>
      </c>
      <c r="I114" s="11">
        <f t="shared" si="6"/>
        <v>-29.117190913600041</v>
      </c>
      <c r="J114" s="11">
        <v>15.881823000000001</v>
      </c>
      <c r="K114" s="11">
        <v>1639.5876900000001</v>
      </c>
      <c r="L114" s="11">
        <v>1491.7229629999999</v>
      </c>
      <c r="M114" s="11">
        <v>115.54365</v>
      </c>
      <c r="N114" s="12">
        <v>1007.236579</v>
      </c>
      <c r="O114" s="14">
        <v>282097000</v>
      </c>
      <c r="P114" s="31">
        <f t="shared" si="7"/>
        <v>9.8102841251909798E-5</v>
      </c>
    </row>
    <row r="115" spans="1:16" ht="15" customHeight="1" x14ac:dyDescent="0.3">
      <c r="A115" s="30" t="s">
        <v>61</v>
      </c>
      <c r="B115" s="23" t="s">
        <v>99</v>
      </c>
      <c r="C115" s="24" t="s">
        <v>100</v>
      </c>
      <c r="D115" s="10">
        <v>2024</v>
      </c>
      <c r="E115" s="11">
        <v>442.46742699999999</v>
      </c>
      <c r="F115" s="11">
        <f t="shared" si="4"/>
        <v>167.07570043519999</v>
      </c>
      <c r="G115" s="12">
        <f t="shared" si="5"/>
        <v>275.39172656480002</v>
      </c>
      <c r="H115" s="11">
        <v>284.232709</v>
      </c>
      <c r="I115" s="11">
        <f t="shared" si="6"/>
        <v>-8.840982435199976</v>
      </c>
      <c r="J115" s="11">
        <v>31.801373000000002</v>
      </c>
      <c r="K115" s="11">
        <v>1697.4123179999999</v>
      </c>
      <c r="L115" s="11">
        <v>1532.548374</v>
      </c>
      <c r="M115" s="11">
        <v>125.557118</v>
      </c>
      <c r="N115" s="12">
        <v>1005.24103</v>
      </c>
      <c r="O115" s="14">
        <v>310681000</v>
      </c>
      <c r="P115" s="31">
        <f t="shared" si="7"/>
        <v>8.8641315872164708E-5</v>
      </c>
    </row>
    <row r="116" spans="1:16" ht="15" hidden="1" customHeight="1" x14ac:dyDescent="0.3">
      <c r="A116" s="30" t="s">
        <v>61</v>
      </c>
      <c r="B116" s="23" t="s">
        <v>115</v>
      </c>
      <c r="C116" s="24" t="s">
        <v>116</v>
      </c>
      <c r="D116" s="10">
        <v>2020</v>
      </c>
      <c r="E116" s="11">
        <v>373.05653000000001</v>
      </c>
      <c r="F116" s="11">
        <f t="shared" si="4"/>
        <v>140.86614572799999</v>
      </c>
      <c r="G116" s="12">
        <f t="shared" si="5"/>
        <v>232.19038427200002</v>
      </c>
      <c r="H116" s="11">
        <v>74.662505999999993</v>
      </c>
      <c r="I116" s="11">
        <f t="shared" si="6"/>
        <v>157.52787827200001</v>
      </c>
      <c r="J116" s="11"/>
      <c r="K116" s="11"/>
      <c r="L116" s="11"/>
      <c r="M116" s="11"/>
      <c r="N116" s="12"/>
      <c r="O116" s="14">
        <v>201307000</v>
      </c>
      <c r="P116" s="31">
        <f t="shared" si="7"/>
        <v>1.1534143585270261E-4</v>
      </c>
    </row>
    <row r="117" spans="1:16" ht="15" hidden="1" customHeight="1" x14ac:dyDescent="0.3">
      <c r="A117" s="26" t="s">
        <v>61</v>
      </c>
      <c r="B117" s="27" t="s">
        <v>115</v>
      </c>
      <c r="C117" s="28" t="s">
        <v>116</v>
      </c>
      <c r="D117" s="4">
        <v>2021</v>
      </c>
      <c r="E117" s="5">
        <v>446.07805300000001</v>
      </c>
      <c r="F117" s="5">
        <f t="shared" si="4"/>
        <v>168.43907281279999</v>
      </c>
      <c r="G117" s="6">
        <f t="shared" si="5"/>
        <v>277.63898018719999</v>
      </c>
      <c r="H117" s="5">
        <v>77.433228</v>
      </c>
      <c r="I117" s="5">
        <f t="shared" si="6"/>
        <v>200.20575218720001</v>
      </c>
      <c r="J117" s="5"/>
      <c r="K117" s="5"/>
      <c r="L117" s="5"/>
      <c r="M117" s="5"/>
      <c r="N117" s="6"/>
      <c r="O117" s="8">
        <v>239556000</v>
      </c>
      <c r="P117" s="29">
        <f t="shared" si="7"/>
        <v>1.1589731845046669E-4</v>
      </c>
    </row>
    <row r="118" spans="1:16" ht="15" hidden="1" customHeight="1" x14ac:dyDescent="0.3">
      <c r="A118" s="30" t="s">
        <v>61</v>
      </c>
      <c r="B118" s="23" t="s">
        <v>115</v>
      </c>
      <c r="C118" s="24" t="s">
        <v>116</v>
      </c>
      <c r="D118" s="10">
        <v>2022</v>
      </c>
      <c r="E118" s="11">
        <v>852.19755199999997</v>
      </c>
      <c r="F118" s="11">
        <f t="shared" si="4"/>
        <v>321.78979563519999</v>
      </c>
      <c r="G118" s="12">
        <f t="shared" si="5"/>
        <v>530.40775636479998</v>
      </c>
      <c r="H118" s="11">
        <v>75.444946999999999</v>
      </c>
      <c r="I118" s="11">
        <f t="shared" si="6"/>
        <v>454.96280936479997</v>
      </c>
      <c r="J118" s="11"/>
      <c r="K118" s="11"/>
      <c r="L118" s="11"/>
      <c r="M118" s="11"/>
      <c r="N118" s="12"/>
      <c r="O118" s="14">
        <v>262954000</v>
      </c>
      <c r="P118" s="31">
        <f t="shared" si="7"/>
        <v>2.0171123328217101E-4</v>
      </c>
    </row>
    <row r="119" spans="1:16" ht="15" hidden="1" customHeight="1" x14ac:dyDescent="0.3">
      <c r="A119" s="26" t="s">
        <v>61</v>
      </c>
      <c r="B119" s="27" t="s">
        <v>115</v>
      </c>
      <c r="C119" s="28" t="s">
        <v>116</v>
      </c>
      <c r="D119" s="4">
        <v>2023</v>
      </c>
      <c r="E119" s="5">
        <v>4105.6828919999998</v>
      </c>
      <c r="F119" s="5">
        <f t="shared" si="4"/>
        <v>1550.3058600191998</v>
      </c>
      <c r="G119" s="6">
        <f t="shared" si="5"/>
        <v>2555.3770319808</v>
      </c>
      <c r="H119" s="5">
        <v>438.30385899999999</v>
      </c>
      <c r="I119" s="5">
        <f t="shared" si="6"/>
        <v>2117.0731729807999</v>
      </c>
      <c r="J119" s="5"/>
      <c r="K119" s="5">
        <v>7889.8179469999995</v>
      </c>
      <c r="L119" s="5">
        <v>7274.4238009999999</v>
      </c>
      <c r="M119" s="5">
        <v>255.448294</v>
      </c>
      <c r="N119" s="6">
        <v>3664.1620720000001</v>
      </c>
      <c r="O119" s="8">
        <v>282097000</v>
      </c>
      <c r="P119" s="29">
        <f t="shared" si="7"/>
        <v>9.0585048121064743E-4</v>
      </c>
    </row>
    <row r="120" spans="1:16" ht="15" hidden="1" customHeight="1" x14ac:dyDescent="0.3">
      <c r="A120" s="26" t="s">
        <v>61</v>
      </c>
      <c r="B120" s="27" t="s">
        <v>105</v>
      </c>
      <c r="C120" s="28" t="s">
        <v>106</v>
      </c>
      <c r="D120" s="4">
        <v>2019</v>
      </c>
      <c r="E120" s="5">
        <v>1756.149371</v>
      </c>
      <c r="F120" s="5">
        <f t="shared" si="4"/>
        <v>663.12200248959994</v>
      </c>
      <c r="G120" s="6">
        <f t="shared" si="5"/>
        <v>1093.0273685104</v>
      </c>
      <c r="H120" s="5">
        <v>529.27133300000003</v>
      </c>
      <c r="I120" s="5">
        <f t="shared" si="6"/>
        <v>563.75603551040001</v>
      </c>
      <c r="J120" s="5">
        <v>330.11524300000002</v>
      </c>
      <c r="K120" s="5">
        <v>12489.057712</v>
      </c>
      <c r="L120" s="5">
        <v>5307.9746640000003</v>
      </c>
      <c r="M120" s="5">
        <v>5618.2172369999998</v>
      </c>
      <c r="N120" s="6">
        <v>9199.1196909999999</v>
      </c>
      <c r="O120" s="8">
        <v>195548000</v>
      </c>
      <c r="P120" s="29">
        <f t="shared" si="7"/>
        <v>5.5895604583549826E-4</v>
      </c>
    </row>
    <row r="121" spans="1:16" ht="15" hidden="1" customHeight="1" x14ac:dyDescent="0.3">
      <c r="A121" s="26" t="s">
        <v>61</v>
      </c>
      <c r="B121" s="27" t="s">
        <v>105</v>
      </c>
      <c r="C121" s="28" t="s">
        <v>106</v>
      </c>
      <c r="D121" s="4">
        <v>2020</v>
      </c>
      <c r="E121" s="5">
        <v>1927.250855</v>
      </c>
      <c r="F121" s="5">
        <f t="shared" si="4"/>
        <v>727.729922848</v>
      </c>
      <c r="G121" s="6">
        <f t="shared" si="5"/>
        <v>1199.5209321520001</v>
      </c>
      <c r="H121" s="5">
        <v>559.40833999999995</v>
      </c>
      <c r="I121" s="5">
        <f t="shared" si="6"/>
        <v>640.11259215200016</v>
      </c>
      <c r="J121" s="5">
        <v>260.72840600000001</v>
      </c>
      <c r="K121" s="5">
        <v>14013.131018</v>
      </c>
      <c r="L121" s="5">
        <v>5644.8293960000001</v>
      </c>
      <c r="M121" s="5">
        <v>6590.123184</v>
      </c>
      <c r="N121" s="6">
        <v>10029.748061</v>
      </c>
      <c r="O121" s="8">
        <v>201307000</v>
      </c>
      <c r="P121" s="29">
        <f t="shared" si="7"/>
        <v>5.9586647863810009E-4</v>
      </c>
    </row>
    <row r="122" spans="1:16" ht="15" hidden="1" customHeight="1" x14ac:dyDescent="0.3">
      <c r="A122" s="30" t="s">
        <v>61</v>
      </c>
      <c r="B122" s="23" t="s">
        <v>105</v>
      </c>
      <c r="C122" s="24" t="s">
        <v>106</v>
      </c>
      <c r="D122" s="10">
        <v>2021</v>
      </c>
      <c r="E122" s="11">
        <v>2286.059636</v>
      </c>
      <c r="F122" s="11">
        <f t="shared" si="4"/>
        <v>863.21611855359993</v>
      </c>
      <c r="G122" s="12">
        <f t="shared" si="5"/>
        <v>1422.8435174464</v>
      </c>
      <c r="H122" s="11">
        <v>629.909446</v>
      </c>
      <c r="I122" s="11">
        <f t="shared" si="6"/>
        <v>792.93407144640003</v>
      </c>
      <c r="J122" s="11">
        <v>383.42114600000002</v>
      </c>
      <c r="K122" s="11">
        <v>17342.468541999999</v>
      </c>
      <c r="L122" s="11">
        <v>7201.0950940000002</v>
      </c>
      <c r="M122" s="11">
        <v>8471.0750239999998</v>
      </c>
      <c r="N122" s="12">
        <v>12188.387771</v>
      </c>
      <c r="O122" s="14">
        <v>239556000</v>
      </c>
      <c r="P122" s="31">
        <f t="shared" si="7"/>
        <v>5.9395027360884304E-4</v>
      </c>
    </row>
    <row r="123" spans="1:16" ht="15" hidden="1" customHeight="1" x14ac:dyDescent="0.3">
      <c r="A123" s="26" t="s">
        <v>61</v>
      </c>
      <c r="B123" s="27" t="s">
        <v>105</v>
      </c>
      <c r="C123" s="28" t="s">
        <v>106</v>
      </c>
      <c r="D123" s="4">
        <v>2022</v>
      </c>
      <c r="E123" s="5">
        <v>2386.9369109999998</v>
      </c>
      <c r="F123" s="5">
        <f t="shared" si="4"/>
        <v>901.30737759359988</v>
      </c>
      <c r="G123" s="6">
        <f t="shared" si="5"/>
        <v>1485.6295334063998</v>
      </c>
      <c r="H123" s="5">
        <v>596.33843400000001</v>
      </c>
      <c r="I123" s="5">
        <f t="shared" si="6"/>
        <v>889.29109940639978</v>
      </c>
      <c r="J123" s="5">
        <v>103.95371</v>
      </c>
      <c r="K123" s="5">
        <v>15117.112437</v>
      </c>
      <c r="L123" s="5">
        <v>7326.7262730000002</v>
      </c>
      <c r="M123" s="5">
        <v>7271.1127580000002</v>
      </c>
      <c r="N123" s="6">
        <v>12052.562051999999</v>
      </c>
      <c r="O123" s="8">
        <v>262954000</v>
      </c>
      <c r="P123" s="29">
        <f t="shared" si="7"/>
        <v>5.6497696684834598E-4</v>
      </c>
    </row>
    <row r="124" spans="1:16" ht="15" hidden="1" customHeight="1" x14ac:dyDescent="0.3">
      <c r="A124" s="30" t="s">
        <v>61</v>
      </c>
      <c r="B124" s="23" t="s">
        <v>105</v>
      </c>
      <c r="C124" s="24" t="s">
        <v>106</v>
      </c>
      <c r="D124" s="10">
        <v>2023</v>
      </c>
      <c r="E124" s="11">
        <v>2350.6297220000001</v>
      </c>
      <c r="F124" s="11">
        <f t="shared" si="4"/>
        <v>887.59778302720008</v>
      </c>
      <c r="G124" s="12">
        <f t="shared" si="5"/>
        <v>1463.0319389728002</v>
      </c>
      <c r="H124" s="11">
        <v>633.50952800000005</v>
      </c>
      <c r="I124" s="11">
        <f t="shared" si="6"/>
        <v>829.52241097280012</v>
      </c>
      <c r="J124" s="11">
        <v>585.03733399999999</v>
      </c>
      <c r="K124" s="11">
        <v>14070.088207999999</v>
      </c>
      <c r="L124" s="11">
        <v>7958.5284309999997</v>
      </c>
      <c r="M124" s="11">
        <v>5767.1890739999999</v>
      </c>
      <c r="N124" s="12">
        <v>11589.841511000001</v>
      </c>
      <c r="O124" s="14">
        <v>282097000</v>
      </c>
      <c r="P124" s="31">
        <f t="shared" si="7"/>
        <v>5.1862725905372977E-4</v>
      </c>
    </row>
    <row r="125" spans="1:16" ht="15" hidden="1" customHeight="1" x14ac:dyDescent="0.3">
      <c r="A125" s="26" t="s">
        <v>61</v>
      </c>
      <c r="B125" s="27" t="s">
        <v>71</v>
      </c>
      <c r="C125" s="28" t="s">
        <v>72</v>
      </c>
      <c r="D125" s="4">
        <v>2015</v>
      </c>
      <c r="E125" s="5">
        <v>81.997219999999999</v>
      </c>
      <c r="F125" s="5">
        <f t="shared" si="4"/>
        <v>30.962150271999999</v>
      </c>
      <c r="G125" s="6">
        <f t="shared" si="5"/>
        <v>51.035069727999996</v>
      </c>
      <c r="H125" s="5">
        <v>62.651111</v>
      </c>
      <c r="I125" s="5">
        <f t="shared" si="6"/>
        <v>-11.616041272000004</v>
      </c>
      <c r="J125" s="5">
        <v>7.6761229999999996</v>
      </c>
      <c r="K125" s="5">
        <v>398.16576099999997</v>
      </c>
      <c r="L125" s="5">
        <v>385.14699000000002</v>
      </c>
      <c r="M125" s="5">
        <v>7.0729129999999998</v>
      </c>
      <c r="N125" s="6">
        <v>256.79240099999998</v>
      </c>
      <c r="O125" s="8">
        <v>158623000</v>
      </c>
      <c r="P125" s="29">
        <f t="shared" si="7"/>
        <v>3.2173814470789232E-5</v>
      </c>
    </row>
    <row r="126" spans="1:16" ht="15" hidden="1" customHeight="1" x14ac:dyDescent="0.3">
      <c r="A126" s="30" t="s">
        <v>61</v>
      </c>
      <c r="B126" s="23" t="s">
        <v>71</v>
      </c>
      <c r="C126" s="24" t="s">
        <v>72</v>
      </c>
      <c r="D126" s="10">
        <v>2015</v>
      </c>
      <c r="E126" s="11">
        <v>81.997219999999999</v>
      </c>
      <c r="F126" s="11">
        <f t="shared" si="4"/>
        <v>30.962150271999999</v>
      </c>
      <c r="G126" s="12">
        <f t="shared" si="5"/>
        <v>51.035069727999996</v>
      </c>
      <c r="H126" s="11">
        <v>62.651111</v>
      </c>
      <c r="I126" s="11">
        <f t="shared" si="6"/>
        <v>-11.616041272000004</v>
      </c>
      <c r="J126" s="11">
        <v>7.6761229999999996</v>
      </c>
      <c r="K126" s="11">
        <v>386.94437299999998</v>
      </c>
      <c r="L126" s="11">
        <v>374.292506</v>
      </c>
      <c r="M126" s="11">
        <v>6.8735790000000003</v>
      </c>
      <c r="N126" s="12">
        <v>249.555297</v>
      </c>
      <c r="O126" s="14">
        <v>158623000</v>
      </c>
      <c r="P126" s="31">
        <f t="shared" si="7"/>
        <v>3.2173814470789232E-5</v>
      </c>
    </row>
    <row r="127" spans="1:16" ht="15" hidden="1" customHeight="1" x14ac:dyDescent="0.3">
      <c r="A127" s="30" t="s">
        <v>61</v>
      </c>
      <c r="B127" s="23" t="s">
        <v>71</v>
      </c>
      <c r="C127" s="24" t="s">
        <v>72</v>
      </c>
      <c r="D127" s="10">
        <v>2016</v>
      </c>
      <c r="E127" s="11">
        <v>93.097881999999998</v>
      </c>
      <c r="F127" s="11">
        <f t="shared" si="4"/>
        <v>35.153760243199997</v>
      </c>
      <c r="G127" s="12">
        <f t="shared" si="5"/>
        <v>57.944121756800001</v>
      </c>
      <c r="H127" s="11">
        <v>72.977333000000002</v>
      </c>
      <c r="I127" s="11">
        <f t="shared" si="6"/>
        <v>-15.0332112432</v>
      </c>
      <c r="J127" s="11">
        <v>-15.129906</v>
      </c>
      <c r="K127" s="11">
        <v>407.34416499999998</v>
      </c>
      <c r="L127" s="11">
        <v>388.00063899999998</v>
      </c>
      <c r="M127" s="11">
        <v>10.301534</v>
      </c>
      <c r="N127" s="12">
        <v>241.106831</v>
      </c>
      <c r="O127" s="14">
        <v>168765000</v>
      </c>
      <c r="P127" s="31">
        <f t="shared" si="7"/>
        <v>3.4334205407993363E-5</v>
      </c>
    </row>
    <row r="128" spans="1:16" ht="15" hidden="1" customHeight="1" x14ac:dyDescent="0.3">
      <c r="A128" s="30" t="s">
        <v>61</v>
      </c>
      <c r="B128" s="23" t="s">
        <v>71</v>
      </c>
      <c r="C128" s="24" t="s">
        <v>72</v>
      </c>
      <c r="D128" s="10">
        <v>2018</v>
      </c>
      <c r="E128" s="11">
        <v>64.046395000000004</v>
      </c>
      <c r="F128" s="11">
        <f t="shared" si="4"/>
        <v>24.183918752</v>
      </c>
      <c r="G128" s="12">
        <f t="shared" si="5"/>
        <v>39.862476248000007</v>
      </c>
      <c r="H128" s="11">
        <v>65.899146000000002</v>
      </c>
      <c r="I128" s="11">
        <f t="shared" si="6"/>
        <v>-26.036669751999995</v>
      </c>
      <c r="J128" s="11">
        <v>-39.049066000000003</v>
      </c>
      <c r="K128" s="11">
        <v>390.46517399999999</v>
      </c>
      <c r="L128" s="11">
        <v>363.93421899999998</v>
      </c>
      <c r="M128" s="11">
        <v>14.380428</v>
      </c>
      <c r="N128" s="12">
        <v>139.90131</v>
      </c>
      <c r="O128" s="14">
        <v>189435000</v>
      </c>
      <c r="P128" s="31">
        <f t="shared" si="7"/>
        <v>2.1042825374402833E-5</v>
      </c>
    </row>
    <row r="129" spans="1:16" ht="15" hidden="1" customHeight="1" x14ac:dyDescent="0.3">
      <c r="A129" s="26" t="s">
        <v>61</v>
      </c>
      <c r="B129" s="27" t="s">
        <v>71</v>
      </c>
      <c r="C129" s="28" t="s">
        <v>72</v>
      </c>
      <c r="D129" s="4">
        <v>2023</v>
      </c>
      <c r="E129" s="5">
        <v>0.343607</v>
      </c>
      <c r="F129" s="5">
        <f t="shared" si="4"/>
        <v>0.12974600319999999</v>
      </c>
      <c r="G129" s="6">
        <f t="shared" si="5"/>
        <v>0.21386099680000001</v>
      </c>
      <c r="H129" s="5">
        <v>58.504480999999998</v>
      </c>
      <c r="I129" s="5">
        <f t="shared" si="6"/>
        <v>-58.290620003199997</v>
      </c>
      <c r="J129" s="5">
        <v>-21.954732</v>
      </c>
      <c r="K129" s="5">
        <v>456.39967999999999</v>
      </c>
      <c r="L129" s="5">
        <v>392.83331600000002</v>
      </c>
      <c r="M129" s="5">
        <v>15.478531</v>
      </c>
      <c r="N129" s="6">
        <v>154.47277099999999</v>
      </c>
      <c r="O129" s="8">
        <v>282097000</v>
      </c>
      <c r="P129" s="29">
        <f t="shared" si="7"/>
        <v>7.5811156020801356E-8</v>
      </c>
    </row>
    <row r="130" spans="1:16" ht="15" hidden="1" customHeight="1" x14ac:dyDescent="0.3">
      <c r="A130" s="26" t="s">
        <v>61</v>
      </c>
      <c r="B130" s="27" t="s">
        <v>73</v>
      </c>
      <c r="C130" s="28" t="s">
        <v>74</v>
      </c>
      <c r="D130" s="4">
        <v>2015</v>
      </c>
      <c r="E130" s="5">
        <v>1070.4830609999999</v>
      </c>
      <c r="F130" s="5">
        <f t="shared" ref="F130:F135" si="8">0.3776*E130</f>
        <v>404.21440383359993</v>
      </c>
      <c r="G130" s="6">
        <f t="shared" ref="G130:G135" si="9">+E130-F130</f>
        <v>666.26865716639998</v>
      </c>
      <c r="H130" s="5">
        <v>390.31737700000002</v>
      </c>
      <c r="I130" s="5">
        <f t="shared" ref="I130:I135" si="10">+G130-H130</f>
        <v>275.95128016639995</v>
      </c>
      <c r="J130" s="5">
        <v>182.319997</v>
      </c>
      <c r="K130" s="5">
        <v>1696.189312</v>
      </c>
      <c r="L130" s="5">
        <v>1058.96048</v>
      </c>
      <c r="M130" s="5">
        <v>607.93649000000005</v>
      </c>
      <c r="N130" s="6">
        <v>1246.1839279999999</v>
      </c>
      <c r="O130" s="8">
        <v>158623000</v>
      </c>
      <c r="P130" s="29">
        <f t="shared" ref="P130:P135" si="11">+(G130/O130)*100</f>
        <v>4.2003281817037876E-4</v>
      </c>
    </row>
    <row r="131" spans="1:16" ht="15" hidden="1" customHeight="1" x14ac:dyDescent="0.3">
      <c r="A131" s="26" t="s">
        <v>61</v>
      </c>
      <c r="B131" s="27" t="s">
        <v>73</v>
      </c>
      <c r="C131" s="28" t="s">
        <v>74</v>
      </c>
      <c r="D131" s="4">
        <v>2016</v>
      </c>
      <c r="E131" s="5">
        <v>1244.527272</v>
      </c>
      <c r="F131" s="5">
        <f t="shared" si="8"/>
        <v>469.93349790719998</v>
      </c>
      <c r="G131" s="6">
        <f t="shared" si="9"/>
        <v>774.5937740928</v>
      </c>
      <c r="H131" s="5">
        <v>397.06346200000002</v>
      </c>
      <c r="I131" s="5">
        <f t="shared" si="10"/>
        <v>377.53031209279999</v>
      </c>
      <c r="J131" s="5">
        <v>142.80912699999999</v>
      </c>
      <c r="K131" s="5">
        <v>7731.3593799999999</v>
      </c>
      <c r="L131" s="5">
        <v>2370.6909019999998</v>
      </c>
      <c r="M131" s="5">
        <v>4783.8802059999998</v>
      </c>
      <c r="N131" s="6">
        <v>5505.8146809999998</v>
      </c>
      <c r="O131" s="8">
        <v>168765000</v>
      </c>
      <c r="P131" s="29">
        <f t="shared" si="11"/>
        <v>4.5897773477486449E-4</v>
      </c>
    </row>
    <row r="132" spans="1:16" ht="15" hidden="1" customHeight="1" x14ac:dyDescent="0.3">
      <c r="A132" s="26" t="s">
        <v>61</v>
      </c>
      <c r="B132" s="27" t="s">
        <v>73</v>
      </c>
      <c r="C132" s="28" t="s">
        <v>74</v>
      </c>
      <c r="D132" s="4">
        <v>2017</v>
      </c>
      <c r="E132" s="5">
        <v>283.515354</v>
      </c>
      <c r="F132" s="5">
        <f t="shared" si="8"/>
        <v>107.0553976704</v>
      </c>
      <c r="G132" s="6">
        <f t="shared" si="9"/>
        <v>176.4599563296</v>
      </c>
      <c r="H132" s="5">
        <v>150.66379900000001</v>
      </c>
      <c r="I132" s="5">
        <f t="shared" si="10"/>
        <v>25.796157329599993</v>
      </c>
      <c r="J132" s="5"/>
      <c r="K132" s="5"/>
      <c r="L132" s="5"/>
      <c r="M132" s="5"/>
      <c r="N132" s="6"/>
      <c r="O132" s="8">
        <v>179315000</v>
      </c>
      <c r="P132" s="29">
        <f t="shared" si="11"/>
        <v>9.8407805442712548E-5</v>
      </c>
    </row>
    <row r="133" spans="1:16" ht="15" hidden="1" customHeight="1" x14ac:dyDescent="0.3">
      <c r="A133" s="26" t="s">
        <v>61</v>
      </c>
      <c r="B133" s="27" t="s">
        <v>73</v>
      </c>
      <c r="C133" s="28" t="s">
        <v>74</v>
      </c>
      <c r="D133" s="4">
        <v>2018</v>
      </c>
      <c r="E133" s="5">
        <v>293.82313399999998</v>
      </c>
      <c r="F133" s="5">
        <f t="shared" si="8"/>
        <v>110.94761539839999</v>
      </c>
      <c r="G133" s="6">
        <f t="shared" si="9"/>
        <v>182.87551860159999</v>
      </c>
      <c r="H133" s="5">
        <v>142.019949</v>
      </c>
      <c r="I133" s="5">
        <f t="shared" si="10"/>
        <v>40.855569601599996</v>
      </c>
      <c r="J133" s="5"/>
      <c r="K133" s="5"/>
      <c r="L133" s="5"/>
      <c r="M133" s="5"/>
      <c r="N133" s="6"/>
      <c r="O133" s="8">
        <v>189435000</v>
      </c>
      <c r="P133" s="29">
        <f t="shared" si="11"/>
        <v>9.6537344525351703E-5</v>
      </c>
    </row>
    <row r="134" spans="1:16" ht="15" hidden="1" customHeight="1" x14ac:dyDescent="0.3">
      <c r="A134" s="30" t="s">
        <v>61</v>
      </c>
      <c r="B134" s="23" t="s">
        <v>73</v>
      </c>
      <c r="C134" s="24" t="s">
        <v>74</v>
      </c>
      <c r="D134" s="10">
        <v>2022</v>
      </c>
      <c r="E134" s="11">
        <v>3902.0545569999999</v>
      </c>
      <c r="F134" s="11">
        <f t="shared" si="8"/>
        <v>1473.4158007231999</v>
      </c>
      <c r="G134" s="12">
        <f t="shared" si="9"/>
        <v>2428.6387562768</v>
      </c>
      <c r="H134" s="11">
        <v>149.92890600000001</v>
      </c>
      <c r="I134" s="11">
        <f t="shared" si="10"/>
        <v>2278.7098502767999</v>
      </c>
      <c r="J134" s="11">
        <v>145.01255</v>
      </c>
      <c r="K134" s="11">
        <v>2547.7526469999998</v>
      </c>
      <c r="L134" s="11">
        <v>1275.6851019999999</v>
      </c>
      <c r="M134" s="11">
        <v>1119.691069</v>
      </c>
      <c r="N134" s="12">
        <v>2157.4264090000001</v>
      </c>
      <c r="O134" s="14">
        <v>262954000</v>
      </c>
      <c r="P134" s="31">
        <f t="shared" si="11"/>
        <v>9.2359833137233124E-4</v>
      </c>
    </row>
    <row r="135" spans="1:16" ht="15" hidden="1" customHeight="1" x14ac:dyDescent="0.3">
      <c r="A135" s="30" t="s">
        <v>61</v>
      </c>
      <c r="B135" s="23" t="s">
        <v>73</v>
      </c>
      <c r="C135" s="24" t="s">
        <v>74</v>
      </c>
      <c r="D135" s="10">
        <v>2023</v>
      </c>
      <c r="E135" s="11">
        <v>5495.370731</v>
      </c>
      <c r="F135" s="11">
        <f t="shared" si="8"/>
        <v>2075.0519880256002</v>
      </c>
      <c r="G135" s="12">
        <f t="shared" si="9"/>
        <v>3420.3187429743998</v>
      </c>
      <c r="H135" s="11">
        <v>147.725964</v>
      </c>
      <c r="I135" s="11">
        <f t="shared" si="10"/>
        <v>3272.5927789743996</v>
      </c>
      <c r="J135" s="11">
        <v>202.08404200000001</v>
      </c>
      <c r="K135" s="11">
        <v>2512.1649200000002</v>
      </c>
      <c r="L135" s="11">
        <v>1409.7228150000001</v>
      </c>
      <c r="M135" s="11">
        <v>1089.519933</v>
      </c>
      <c r="N135" s="12">
        <v>2078.3770930000001</v>
      </c>
      <c r="O135" s="14">
        <v>282097000</v>
      </c>
      <c r="P135" s="31">
        <f t="shared" si="11"/>
        <v>1.2124619343610176E-3</v>
      </c>
    </row>
    <row r="136" spans="1:16" ht="15" hidden="1" customHeight="1" x14ac:dyDescent="0.3"/>
  </sheetData>
  <autoFilter ref="A2:P136" xr:uid="{00000000-0001-0000-0400-000000000000}">
    <filterColumn colId="3">
      <filters>
        <filter val="2024"/>
      </filters>
    </filterColumn>
    <sortState xmlns:xlrd2="http://schemas.microsoft.com/office/spreadsheetml/2017/richdata2" ref="A3:P136">
      <sortCondition ref="B2:B136"/>
    </sortState>
  </autoFilter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2E7D52"/>
  </sheetPr>
  <dimension ref="A1:P99"/>
  <sheetViews>
    <sheetView tabSelected="1" zoomScale="85" workbookViewId="0">
      <pane ySplit="2" topLeftCell="A3" activePane="bottomLeft" state="frozen"/>
      <selection pane="bottomLeft" activeCell="B15" sqref="B15:B93"/>
    </sheetView>
  </sheetViews>
  <sheetFormatPr baseColWidth="10" defaultColWidth="8.88671875" defaultRowHeight="14.4" x14ac:dyDescent="0.3"/>
  <cols>
    <col min="1" max="1" width="12" customWidth="1"/>
    <col min="2" max="2" width="38" customWidth="1"/>
    <col min="3" max="3" width="14" customWidth="1"/>
    <col min="4" max="4" width="6" customWidth="1"/>
    <col min="5" max="12" width="12" customWidth="1"/>
    <col min="13" max="14" width="14" customWidth="1"/>
    <col min="15" max="15" width="16" customWidth="1"/>
    <col min="16" max="16" width="14" customWidth="1"/>
  </cols>
  <sheetData>
    <row r="1" spans="1:16" ht="28.05" customHeight="1" x14ac:dyDescent="0.3">
      <c r="A1" s="91" t="s">
        <v>56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ht="30" customHeight="1" x14ac:dyDescent="0.3">
      <c r="A2" s="32" t="s">
        <v>57</v>
      </c>
      <c r="B2" s="32" t="s">
        <v>47</v>
      </c>
      <c r="C2" s="32" t="s">
        <v>48</v>
      </c>
      <c r="D2" s="32" t="s">
        <v>25</v>
      </c>
      <c r="E2" s="32" t="s">
        <v>27</v>
      </c>
      <c r="F2" s="32" t="s">
        <v>28</v>
      </c>
      <c r="G2" s="32" t="s">
        <v>29</v>
      </c>
      <c r="H2" s="32" t="s">
        <v>30</v>
      </c>
      <c r="I2" s="32" t="s">
        <v>31</v>
      </c>
      <c r="J2" s="32" t="s">
        <v>32</v>
      </c>
      <c r="K2" s="32" t="s">
        <v>58</v>
      </c>
      <c r="L2" s="32" t="s">
        <v>59</v>
      </c>
      <c r="M2" s="32" t="s">
        <v>40</v>
      </c>
      <c r="N2" s="32" t="s">
        <v>41</v>
      </c>
      <c r="O2" s="32" t="s">
        <v>60</v>
      </c>
      <c r="P2" s="32" t="s">
        <v>35</v>
      </c>
    </row>
    <row r="3" spans="1:16" ht="15" hidden="1" customHeight="1" x14ac:dyDescent="0.3">
      <c r="A3" s="48" t="s">
        <v>129</v>
      </c>
      <c r="B3" s="49" t="s">
        <v>130</v>
      </c>
      <c r="C3" s="50" t="s">
        <v>131</v>
      </c>
      <c r="D3" s="36">
        <v>2013</v>
      </c>
      <c r="E3" s="37">
        <v>6948.1</v>
      </c>
      <c r="F3" s="37">
        <f>0.3776*E3</f>
        <v>2623.6025600000003</v>
      </c>
      <c r="G3" s="38">
        <f>+E3-F3</f>
        <v>4324.4974400000001</v>
      </c>
      <c r="H3" s="37">
        <v>3146.5</v>
      </c>
      <c r="I3" s="37">
        <f>+G3-H3</f>
        <v>1177.9974400000001</v>
      </c>
      <c r="J3" s="37">
        <v>-1580.6</v>
      </c>
      <c r="K3" s="37">
        <v>20566.8</v>
      </c>
      <c r="L3" s="38">
        <v>25922</v>
      </c>
      <c r="M3" s="37">
        <v>32276.2</v>
      </c>
      <c r="N3" s="37">
        <v>11120.3</v>
      </c>
      <c r="O3" s="40">
        <v>136003000</v>
      </c>
      <c r="P3" s="51">
        <f>+(G3/O3)*100</f>
        <v>3.1797073888075998E-3</v>
      </c>
    </row>
    <row r="4" spans="1:16" ht="15" hidden="1" customHeight="1" x14ac:dyDescent="0.3">
      <c r="A4" s="52" t="s">
        <v>129</v>
      </c>
      <c r="B4" s="53" t="s">
        <v>130</v>
      </c>
      <c r="C4" s="54" t="s">
        <v>131</v>
      </c>
      <c r="D4" s="42">
        <v>2014</v>
      </c>
      <c r="E4" s="43">
        <v>5701.9</v>
      </c>
      <c r="F4" s="43">
        <f t="shared" ref="F4:F49" si="0">0.3776*E4</f>
        <v>2153.0374399999996</v>
      </c>
      <c r="G4" s="44">
        <f t="shared" ref="G4:G49" si="1">+E4-F4</f>
        <v>3548.86256</v>
      </c>
      <c r="H4" s="43">
        <v>2930.6</v>
      </c>
      <c r="I4" s="43">
        <f t="shared" ref="I4:I49" si="2">+G4-H4</f>
        <v>618.26256000000012</v>
      </c>
      <c r="J4" s="43">
        <v>-4951.7</v>
      </c>
      <c r="K4" s="43">
        <v>20696.8</v>
      </c>
      <c r="L4" s="44">
        <v>19610.900000000001</v>
      </c>
      <c r="M4" s="43">
        <v>27036.7</v>
      </c>
      <c r="N4" s="43">
        <v>5788.6</v>
      </c>
      <c r="O4" s="46">
        <v>144706000</v>
      </c>
      <c r="P4" s="51">
        <f>+(G4/O4)*100</f>
        <v>2.4524640028747943E-3</v>
      </c>
    </row>
    <row r="5" spans="1:16" ht="15" hidden="1" customHeight="1" x14ac:dyDescent="0.3">
      <c r="A5" s="48" t="s">
        <v>129</v>
      </c>
      <c r="B5" s="49" t="s">
        <v>130</v>
      </c>
      <c r="C5" s="50" t="s">
        <v>131</v>
      </c>
      <c r="D5" s="36">
        <v>2015</v>
      </c>
      <c r="E5" s="37">
        <v>5838.4</v>
      </c>
      <c r="F5" s="37">
        <f t="shared" si="0"/>
        <v>2204.5798399999999</v>
      </c>
      <c r="G5" s="38">
        <f t="shared" si="1"/>
        <v>3633.8201599999998</v>
      </c>
      <c r="H5" s="37">
        <v>2625.4</v>
      </c>
      <c r="I5" s="37">
        <f t="shared" si="2"/>
        <v>1008.4201599999997</v>
      </c>
      <c r="J5" s="37">
        <v>-1295.7</v>
      </c>
      <c r="K5" s="37">
        <v>23133.7</v>
      </c>
      <c r="L5" s="38">
        <v>22045.1</v>
      </c>
      <c r="M5" s="37">
        <v>28433</v>
      </c>
      <c r="N5" s="37">
        <v>4742.8</v>
      </c>
      <c r="O5" s="40">
        <v>158623000</v>
      </c>
      <c r="P5" s="51">
        <f t="shared" ref="P5:P54" si="3">+(G5/O5)*100</f>
        <v>2.2908532558330126E-3</v>
      </c>
    </row>
    <row r="6" spans="1:16" ht="15" hidden="1" customHeight="1" x14ac:dyDescent="0.3">
      <c r="A6" s="52" t="s">
        <v>129</v>
      </c>
      <c r="B6" s="53" t="s">
        <v>130</v>
      </c>
      <c r="C6" s="54" t="s">
        <v>131</v>
      </c>
      <c r="D6" s="42">
        <v>2016</v>
      </c>
      <c r="E6" s="43">
        <v>7215</v>
      </c>
      <c r="F6" s="43">
        <f t="shared" si="0"/>
        <v>2724.384</v>
      </c>
      <c r="G6" s="44">
        <f t="shared" si="1"/>
        <v>4490.616</v>
      </c>
      <c r="H6" s="43">
        <v>2822.3</v>
      </c>
      <c r="I6" s="43">
        <f t="shared" si="2"/>
        <v>1668.3159999999998</v>
      </c>
      <c r="J6" s="43">
        <v>360.1</v>
      </c>
      <c r="K6" s="43">
        <v>27470.5</v>
      </c>
      <c r="L6" s="44">
        <v>26592.6</v>
      </c>
      <c r="M6" s="43">
        <v>33393.5</v>
      </c>
      <c r="N6" s="43">
        <v>5265.1</v>
      </c>
      <c r="O6" s="46">
        <v>168765000</v>
      </c>
      <c r="P6" s="55">
        <f t="shared" si="3"/>
        <v>2.6608692560661277E-3</v>
      </c>
    </row>
    <row r="7" spans="1:16" ht="15" hidden="1" customHeight="1" x14ac:dyDescent="0.3">
      <c r="A7" s="48" t="s">
        <v>129</v>
      </c>
      <c r="B7" s="49" t="s">
        <v>130</v>
      </c>
      <c r="C7" s="50" t="s">
        <v>131</v>
      </c>
      <c r="D7" s="36">
        <v>2017</v>
      </c>
      <c r="E7" s="37">
        <v>5915</v>
      </c>
      <c r="F7" s="37">
        <f t="shared" si="0"/>
        <v>2233.5039999999999</v>
      </c>
      <c r="G7" s="38">
        <f t="shared" si="1"/>
        <v>3681.4960000000001</v>
      </c>
      <c r="H7" s="37">
        <v>2687</v>
      </c>
      <c r="I7" s="37">
        <f t="shared" si="2"/>
        <v>994.49600000000009</v>
      </c>
      <c r="J7" s="37">
        <v>488</v>
      </c>
      <c r="K7" s="37">
        <v>29778</v>
      </c>
      <c r="L7" s="38">
        <v>35242</v>
      </c>
      <c r="M7" s="37">
        <v>37342</v>
      </c>
      <c r="N7" s="37">
        <v>4357</v>
      </c>
      <c r="O7" s="40">
        <v>179315000</v>
      </c>
      <c r="P7" s="51">
        <f t="shared" si="3"/>
        <v>2.0530886986587847E-3</v>
      </c>
    </row>
    <row r="8" spans="1:16" ht="15" hidden="1" customHeight="1" x14ac:dyDescent="0.3">
      <c r="A8" s="52" t="s">
        <v>129</v>
      </c>
      <c r="B8" s="53" t="s">
        <v>130</v>
      </c>
      <c r="C8" s="54" t="s">
        <v>131</v>
      </c>
      <c r="D8" s="42">
        <v>2018</v>
      </c>
      <c r="E8" s="43">
        <v>7611</v>
      </c>
      <c r="F8" s="43">
        <f t="shared" si="0"/>
        <v>2873.9135999999999</v>
      </c>
      <c r="G8" s="44">
        <f t="shared" si="1"/>
        <v>4737.0864000000001</v>
      </c>
      <c r="H8" s="43">
        <v>3158</v>
      </c>
      <c r="I8" s="43">
        <f t="shared" si="2"/>
        <v>1579.0864000000001</v>
      </c>
      <c r="J8" s="43">
        <v>1661</v>
      </c>
      <c r="K8" s="43">
        <v>35345</v>
      </c>
      <c r="L8" s="44">
        <v>29764</v>
      </c>
      <c r="M8" s="43">
        <v>42902</v>
      </c>
      <c r="N8" s="43">
        <v>6131</v>
      </c>
      <c r="O8" s="46">
        <v>189435000</v>
      </c>
      <c r="P8" s="55">
        <f t="shared" si="3"/>
        <v>2.5006394805606146E-3</v>
      </c>
    </row>
    <row r="9" spans="1:16" ht="15" hidden="1" customHeight="1" x14ac:dyDescent="0.3">
      <c r="A9" s="48" t="s">
        <v>129</v>
      </c>
      <c r="B9" s="49" t="s">
        <v>130</v>
      </c>
      <c r="C9" s="50" t="s">
        <v>131</v>
      </c>
      <c r="D9" s="36">
        <v>2019</v>
      </c>
      <c r="E9" s="37">
        <v>8768</v>
      </c>
      <c r="F9" s="37">
        <f t="shared" si="0"/>
        <v>3310.7968000000001</v>
      </c>
      <c r="G9" s="38">
        <f t="shared" si="1"/>
        <v>5457.2031999999999</v>
      </c>
      <c r="H9" s="37">
        <v>3350</v>
      </c>
      <c r="I9" s="37">
        <f t="shared" si="2"/>
        <v>2107.2031999999999</v>
      </c>
      <c r="J9" s="37">
        <v>2112</v>
      </c>
      <c r="K9" s="37">
        <v>40476</v>
      </c>
      <c r="L9" s="38">
        <v>40909</v>
      </c>
      <c r="M9" s="37">
        <v>50812</v>
      </c>
      <c r="N9" s="37">
        <v>8617</v>
      </c>
      <c r="O9" s="40">
        <v>195548000</v>
      </c>
      <c r="P9" s="51">
        <f t="shared" si="3"/>
        <v>2.7907230961196228E-3</v>
      </c>
    </row>
    <row r="10" spans="1:16" ht="15" hidden="1" customHeight="1" x14ac:dyDescent="0.3">
      <c r="A10" s="52" t="s">
        <v>129</v>
      </c>
      <c r="B10" s="53" t="s">
        <v>130</v>
      </c>
      <c r="C10" s="54" t="s">
        <v>131</v>
      </c>
      <c r="D10" s="42">
        <v>2020</v>
      </c>
      <c r="E10" s="43">
        <v>8612</v>
      </c>
      <c r="F10" s="43">
        <f t="shared" si="0"/>
        <v>3251.8912</v>
      </c>
      <c r="G10" s="44">
        <f t="shared" si="1"/>
        <v>5360.1088</v>
      </c>
      <c r="H10" s="43">
        <v>3550</v>
      </c>
      <c r="I10" s="43">
        <f t="shared" si="2"/>
        <v>1810.1088</v>
      </c>
      <c r="J10" s="43">
        <v>1538</v>
      </c>
      <c r="K10" s="43">
        <v>44291</v>
      </c>
      <c r="L10" s="44">
        <v>40506</v>
      </c>
      <c r="M10" s="43">
        <v>54171</v>
      </c>
      <c r="N10" s="43">
        <v>10150</v>
      </c>
      <c r="O10" s="46">
        <v>201307000</v>
      </c>
      <c r="P10" s="55">
        <f t="shared" si="3"/>
        <v>2.662653956394959E-3</v>
      </c>
    </row>
    <row r="11" spans="1:16" ht="15" hidden="1" customHeight="1" x14ac:dyDescent="0.3">
      <c r="A11" s="48" t="s">
        <v>129</v>
      </c>
      <c r="B11" s="49" t="s">
        <v>130</v>
      </c>
      <c r="C11" s="50" t="s">
        <v>131</v>
      </c>
      <c r="D11" s="36">
        <v>2021</v>
      </c>
      <c r="E11" s="37">
        <v>9254</v>
      </c>
      <c r="F11" s="37">
        <f t="shared" si="0"/>
        <v>3494.3103999999998</v>
      </c>
      <c r="G11" s="38">
        <f t="shared" si="1"/>
        <v>5759.6895999999997</v>
      </c>
      <c r="H11" s="37">
        <v>3836</v>
      </c>
      <c r="I11" s="37">
        <f t="shared" si="2"/>
        <v>1923.6895999999997</v>
      </c>
      <c r="J11" s="37">
        <v>3542</v>
      </c>
      <c r="K11" s="37">
        <v>42108</v>
      </c>
      <c r="L11" s="38">
        <v>48654</v>
      </c>
      <c r="M11" s="37">
        <v>58971</v>
      </c>
      <c r="N11" s="37">
        <v>12549</v>
      </c>
      <c r="O11" s="40">
        <v>239556000</v>
      </c>
      <c r="P11" s="51">
        <f t="shared" si="3"/>
        <v>2.4043186561806006E-3</v>
      </c>
    </row>
    <row r="12" spans="1:16" ht="15" hidden="1" customHeight="1" x14ac:dyDescent="0.3">
      <c r="A12" s="52" t="s">
        <v>129</v>
      </c>
      <c r="B12" s="53" t="s">
        <v>130</v>
      </c>
      <c r="C12" s="54" t="s">
        <v>131</v>
      </c>
      <c r="D12" s="42">
        <v>2022</v>
      </c>
      <c r="E12" s="43">
        <v>11783</v>
      </c>
      <c r="F12" s="43">
        <f t="shared" si="0"/>
        <v>4449.2608</v>
      </c>
      <c r="G12" s="44">
        <f t="shared" si="1"/>
        <v>7333.7392</v>
      </c>
      <c r="H12" s="43">
        <v>4794</v>
      </c>
      <c r="I12" s="43">
        <f t="shared" si="2"/>
        <v>2539.7392</v>
      </c>
      <c r="J12" s="43">
        <v>3552</v>
      </c>
      <c r="K12" s="43">
        <v>48169</v>
      </c>
      <c r="L12" s="44">
        <v>60155</v>
      </c>
      <c r="M12" s="43">
        <v>68830</v>
      </c>
      <c r="N12" s="43">
        <v>15234</v>
      </c>
      <c r="O12" s="46">
        <v>262954000</v>
      </c>
      <c r="P12" s="55">
        <f t="shared" si="3"/>
        <v>2.7889817990979413E-3</v>
      </c>
    </row>
    <row r="13" spans="1:16" ht="15" hidden="1" customHeight="1" x14ac:dyDescent="0.3">
      <c r="A13" s="48" t="s">
        <v>129</v>
      </c>
      <c r="B13" s="49" t="s">
        <v>130</v>
      </c>
      <c r="C13" s="50" t="s">
        <v>131</v>
      </c>
      <c r="D13" s="36">
        <v>2023</v>
      </c>
      <c r="E13" s="37">
        <v>11267</v>
      </c>
      <c r="F13" s="37">
        <f t="shared" si="0"/>
        <v>4254.4192000000003</v>
      </c>
      <c r="G13" s="38">
        <f t="shared" si="1"/>
        <v>7012.5807999999997</v>
      </c>
      <c r="H13" s="37">
        <v>5515</v>
      </c>
      <c r="I13" s="37">
        <f t="shared" si="2"/>
        <v>1497.5807999999997</v>
      </c>
      <c r="J13" s="37">
        <v>1623</v>
      </c>
      <c r="K13" s="37">
        <v>56129</v>
      </c>
      <c r="L13" s="38">
        <v>70304</v>
      </c>
      <c r="M13" s="37">
        <v>77988</v>
      </c>
      <c r="N13" s="37">
        <v>17876</v>
      </c>
      <c r="O13" s="40">
        <v>282097000</v>
      </c>
      <c r="P13" s="51">
        <f t="shared" si="3"/>
        <v>2.4858757094191005E-3</v>
      </c>
    </row>
    <row r="14" spans="1:16" ht="15" hidden="1" customHeight="1" x14ac:dyDescent="0.3">
      <c r="A14" s="52" t="s">
        <v>129</v>
      </c>
      <c r="B14" s="53" t="s">
        <v>130</v>
      </c>
      <c r="C14" s="54" t="s">
        <v>131</v>
      </c>
      <c r="D14" s="42">
        <v>2024</v>
      </c>
      <c r="E14" s="43">
        <v>13928</v>
      </c>
      <c r="F14" s="43">
        <f t="shared" si="0"/>
        <v>5259.2128000000002</v>
      </c>
      <c r="G14" s="44">
        <f t="shared" si="1"/>
        <v>8668.7871999999988</v>
      </c>
      <c r="H14" s="43">
        <v>6309</v>
      </c>
      <c r="I14" s="43">
        <f t="shared" si="2"/>
        <v>2359.7871999999988</v>
      </c>
      <c r="J14" s="43">
        <v>1702</v>
      </c>
      <c r="K14" s="43">
        <v>67995</v>
      </c>
      <c r="L14" s="44">
        <v>79312</v>
      </c>
      <c r="M14" s="43">
        <v>91740</v>
      </c>
      <c r="N14" s="43">
        <v>19676</v>
      </c>
      <c r="O14" s="46">
        <v>310681000</v>
      </c>
      <c r="P14" s="55">
        <f t="shared" si="3"/>
        <v>2.7902534110550692E-3</v>
      </c>
    </row>
    <row r="15" spans="1:16" ht="15" customHeight="1" x14ac:dyDescent="0.3">
      <c r="A15" s="48" t="s">
        <v>129</v>
      </c>
      <c r="B15" s="49" t="s">
        <v>130</v>
      </c>
      <c r="C15" s="50" t="s">
        <v>131</v>
      </c>
      <c r="D15" s="36">
        <v>2025</v>
      </c>
      <c r="E15" s="37">
        <v>16087</v>
      </c>
      <c r="F15" s="37">
        <f t="shared" si="0"/>
        <v>6074.4511999999995</v>
      </c>
      <c r="G15" s="38">
        <f t="shared" si="1"/>
        <v>10012.5488</v>
      </c>
      <c r="H15" s="37">
        <v>6952</v>
      </c>
      <c r="I15" s="37">
        <f t="shared" si="2"/>
        <v>3060.5488000000005</v>
      </c>
      <c r="J15" s="37">
        <v>2100</v>
      </c>
      <c r="K15" s="37">
        <v>75410</v>
      </c>
      <c r="L15" s="38">
        <v>86573</v>
      </c>
      <c r="M15" s="37">
        <v>102290</v>
      </c>
      <c r="N15" s="37">
        <v>21304</v>
      </c>
      <c r="O15" s="40">
        <v>339978000</v>
      </c>
      <c r="P15" s="51">
        <f>+(G15/O15)*100</f>
        <v>2.9450578566848442E-3</v>
      </c>
    </row>
    <row r="16" spans="1:16" ht="15" hidden="1" customHeight="1" x14ac:dyDescent="0.3">
      <c r="A16" s="52" t="s">
        <v>129</v>
      </c>
      <c r="B16" s="53" t="s">
        <v>132</v>
      </c>
      <c r="C16" s="54" t="s">
        <v>133</v>
      </c>
      <c r="D16" s="42">
        <v>2013</v>
      </c>
      <c r="E16" s="43">
        <v>14358.3</v>
      </c>
      <c r="F16" s="43">
        <f t="shared" si="0"/>
        <v>5421.6940799999993</v>
      </c>
      <c r="G16" s="44">
        <f t="shared" si="1"/>
        <v>8936.60592</v>
      </c>
      <c r="H16" s="43">
        <v>3441.6</v>
      </c>
      <c r="I16" s="43">
        <f t="shared" si="2"/>
        <v>5495.0059199999996</v>
      </c>
      <c r="J16" s="43">
        <v>-2080.8000000000002</v>
      </c>
      <c r="K16" s="43">
        <v>80704.399999999994</v>
      </c>
      <c r="L16" s="44">
        <v>70852.7</v>
      </c>
      <c r="M16" s="43">
        <v>97883.1</v>
      </c>
      <c r="N16" s="43">
        <v>15636.6</v>
      </c>
      <c r="O16" s="46">
        <v>136003000</v>
      </c>
      <c r="P16" s="55">
        <f t="shared" si="3"/>
        <v>6.5708888186290009E-3</v>
      </c>
    </row>
    <row r="17" spans="1:16" ht="15" hidden="1" customHeight="1" x14ac:dyDescent="0.3">
      <c r="A17" s="48" t="s">
        <v>129</v>
      </c>
      <c r="B17" s="49" t="s">
        <v>132</v>
      </c>
      <c r="C17" s="50" t="s">
        <v>133</v>
      </c>
      <c r="D17" s="36">
        <v>2014</v>
      </c>
      <c r="E17" s="37">
        <v>12524.9</v>
      </c>
      <c r="F17" s="37">
        <f t="shared" si="0"/>
        <v>4729.4022399999994</v>
      </c>
      <c r="G17" s="38">
        <f t="shared" si="1"/>
        <v>7795.4977600000002</v>
      </c>
      <c r="H17" s="37">
        <v>3429.5</v>
      </c>
      <c r="I17" s="37">
        <f t="shared" si="2"/>
        <v>4365.9977600000002</v>
      </c>
      <c r="J17" s="37">
        <v>-951.1</v>
      </c>
      <c r="K17" s="37">
        <v>82330.3</v>
      </c>
      <c r="L17" s="38">
        <v>67943.899999999994</v>
      </c>
      <c r="M17" s="37">
        <v>98515.8</v>
      </c>
      <c r="N17" s="37">
        <v>14819.7</v>
      </c>
      <c r="O17" s="40">
        <v>144706000</v>
      </c>
      <c r="P17" s="51">
        <f t="shared" si="3"/>
        <v>5.3871282185949448E-3</v>
      </c>
    </row>
    <row r="18" spans="1:16" ht="15" hidden="1" customHeight="1" x14ac:dyDescent="0.3">
      <c r="A18" s="52" t="s">
        <v>129</v>
      </c>
      <c r="B18" s="53" t="s">
        <v>132</v>
      </c>
      <c r="C18" s="54" t="s">
        <v>133</v>
      </c>
      <c r="D18" s="42">
        <v>2015</v>
      </c>
      <c r="E18" s="43">
        <v>12057.1</v>
      </c>
      <c r="F18" s="43">
        <f t="shared" si="0"/>
        <v>4552.7609599999996</v>
      </c>
      <c r="G18" s="44">
        <f t="shared" si="1"/>
        <v>7504.3390400000008</v>
      </c>
      <c r="H18" s="43">
        <v>3699.1</v>
      </c>
      <c r="I18" s="43">
        <f t="shared" si="2"/>
        <v>3805.2390400000008</v>
      </c>
      <c r="J18" s="43">
        <v>517.79999999999995</v>
      </c>
      <c r="K18" s="43">
        <v>73984.3</v>
      </c>
      <c r="L18" s="44">
        <v>65157.599999999999</v>
      </c>
      <c r="M18" s="43">
        <v>91545.7</v>
      </c>
      <c r="N18" s="43">
        <v>16001.2</v>
      </c>
      <c r="O18" s="46">
        <v>158623000</v>
      </c>
      <c r="P18" s="55">
        <f t="shared" si="3"/>
        <v>4.7309274443176593E-3</v>
      </c>
    </row>
    <row r="19" spans="1:16" ht="15" hidden="1" customHeight="1" x14ac:dyDescent="0.3">
      <c r="A19" s="48" t="s">
        <v>129</v>
      </c>
      <c r="B19" s="49" t="s">
        <v>132</v>
      </c>
      <c r="C19" s="50" t="s">
        <v>133</v>
      </c>
      <c r="D19" s="36">
        <v>2016</v>
      </c>
      <c r="E19" s="37">
        <v>13028.8</v>
      </c>
      <c r="F19" s="37">
        <f t="shared" si="0"/>
        <v>4919.6748799999996</v>
      </c>
      <c r="G19" s="38">
        <f t="shared" si="1"/>
        <v>8109.1251199999997</v>
      </c>
      <c r="H19" s="37">
        <v>3869.4</v>
      </c>
      <c r="I19" s="37">
        <f t="shared" si="2"/>
        <v>4239.7251199999992</v>
      </c>
      <c r="J19" s="37">
        <v>2919.8</v>
      </c>
      <c r="K19" s="37">
        <v>66376.3</v>
      </c>
      <c r="L19" s="38">
        <v>64270.2</v>
      </c>
      <c r="M19" s="37">
        <v>87901.7</v>
      </c>
      <c r="N19" s="37">
        <v>19449.8</v>
      </c>
      <c r="O19" s="40">
        <v>168765000</v>
      </c>
      <c r="P19" s="51">
        <f t="shared" si="3"/>
        <v>4.8049803691523714E-3</v>
      </c>
    </row>
    <row r="20" spans="1:16" ht="15" hidden="1" customHeight="1" x14ac:dyDescent="0.3">
      <c r="A20" s="52" t="s">
        <v>129</v>
      </c>
      <c r="B20" s="53" t="s">
        <v>132</v>
      </c>
      <c r="C20" s="54" t="s">
        <v>133</v>
      </c>
      <c r="D20" s="42">
        <v>2017</v>
      </c>
      <c r="E20" s="43">
        <v>11260</v>
      </c>
      <c r="F20" s="43">
        <f t="shared" si="0"/>
        <v>4251.7759999999998</v>
      </c>
      <c r="G20" s="44">
        <f t="shared" si="1"/>
        <v>7008.2240000000002</v>
      </c>
      <c r="H20" s="43">
        <v>4484</v>
      </c>
      <c r="I20" s="43">
        <f t="shared" si="2"/>
        <v>2524.2240000000002</v>
      </c>
      <c r="J20" s="43">
        <v>3271</v>
      </c>
      <c r="K20" s="43">
        <v>72591</v>
      </c>
      <c r="L20" s="44">
        <v>73716</v>
      </c>
      <c r="M20" s="43">
        <v>95536</v>
      </c>
      <c r="N20" s="43">
        <v>19039</v>
      </c>
      <c r="O20" s="46">
        <v>179315000</v>
      </c>
      <c r="P20" s="55">
        <f t="shared" si="3"/>
        <v>3.9083311490951678E-3</v>
      </c>
    </row>
    <row r="21" spans="1:16" ht="15" hidden="1" customHeight="1" x14ac:dyDescent="0.3">
      <c r="A21" s="48" t="s">
        <v>129</v>
      </c>
      <c r="B21" s="49" t="s">
        <v>132</v>
      </c>
      <c r="C21" s="50" t="s">
        <v>133</v>
      </c>
      <c r="D21" s="36">
        <v>2018</v>
      </c>
      <c r="E21" s="37">
        <v>11482</v>
      </c>
      <c r="F21" s="37">
        <f t="shared" si="0"/>
        <v>4335.6031999999996</v>
      </c>
      <c r="G21" s="38">
        <f t="shared" si="1"/>
        <v>7146.3968000000004</v>
      </c>
      <c r="H21" s="37">
        <v>4318</v>
      </c>
      <c r="I21" s="37">
        <f t="shared" si="2"/>
        <v>2828.3968000000004</v>
      </c>
      <c r="J21" s="37">
        <v>2026</v>
      </c>
      <c r="K21" s="37">
        <v>78243</v>
      </c>
      <c r="L21" s="38">
        <v>78878</v>
      </c>
      <c r="M21" s="37">
        <v>101306</v>
      </c>
      <c r="N21" s="37">
        <v>20123</v>
      </c>
      <c r="O21" s="40">
        <v>189435000</v>
      </c>
      <c r="P21" s="51">
        <f t="shared" si="3"/>
        <v>3.772479636814739E-3</v>
      </c>
    </row>
    <row r="22" spans="1:16" ht="15" hidden="1" customHeight="1" x14ac:dyDescent="0.3">
      <c r="A22" s="52" t="s">
        <v>129</v>
      </c>
      <c r="B22" s="53" t="s">
        <v>132</v>
      </c>
      <c r="C22" s="54" t="s">
        <v>133</v>
      </c>
      <c r="D22" s="42">
        <v>2019</v>
      </c>
      <c r="E22" s="43">
        <v>12485</v>
      </c>
      <c r="F22" s="43">
        <f t="shared" si="0"/>
        <v>4714.3360000000002</v>
      </c>
      <c r="G22" s="44">
        <f t="shared" si="1"/>
        <v>7770.6639999999998</v>
      </c>
      <c r="H22" s="43">
        <v>4730</v>
      </c>
      <c r="I22" s="43">
        <f t="shared" si="2"/>
        <v>3040.6639999999998</v>
      </c>
      <c r="J22" s="43">
        <v>2279</v>
      </c>
      <c r="K22" s="43">
        <v>78298</v>
      </c>
      <c r="L22" s="44">
        <v>84990</v>
      </c>
      <c r="M22" s="43">
        <v>106697</v>
      </c>
      <c r="N22" s="43">
        <v>21199</v>
      </c>
      <c r="O22" s="46">
        <v>195548000</v>
      </c>
      <c r="P22" s="55">
        <f t="shared" si="3"/>
        <v>3.9737885327387652E-3</v>
      </c>
    </row>
    <row r="23" spans="1:16" ht="15" hidden="1" customHeight="1" x14ac:dyDescent="0.3">
      <c r="A23" s="48" t="s">
        <v>129</v>
      </c>
      <c r="B23" s="49" t="s">
        <v>132</v>
      </c>
      <c r="C23" s="50" t="s">
        <v>133</v>
      </c>
      <c r="D23" s="36">
        <v>2020</v>
      </c>
      <c r="E23" s="37">
        <v>11712</v>
      </c>
      <c r="F23" s="37">
        <f t="shared" si="0"/>
        <v>4422.4511999999995</v>
      </c>
      <c r="G23" s="38">
        <f t="shared" si="1"/>
        <v>7289.5488000000005</v>
      </c>
      <c r="H23" s="37">
        <v>4386</v>
      </c>
      <c r="I23" s="37">
        <f t="shared" si="2"/>
        <v>2903.5488000000005</v>
      </c>
      <c r="J23" s="37">
        <v>1751</v>
      </c>
      <c r="K23" s="37">
        <v>79756</v>
      </c>
      <c r="L23" s="38">
        <v>77555</v>
      </c>
      <c r="M23" s="37">
        <v>108301</v>
      </c>
      <c r="N23" s="37">
        <v>22393</v>
      </c>
      <c r="O23" s="40">
        <v>201307000</v>
      </c>
      <c r="P23" s="51">
        <f t="shared" si="3"/>
        <v>3.6211104432533397E-3</v>
      </c>
    </row>
    <row r="24" spans="1:16" ht="15" hidden="1" customHeight="1" x14ac:dyDescent="0.3">
      <c r="A24" s="52" t="s">
        <v>129</v>
      </c>
      <c r="B24" s="53" t="s">
        <v>132</v>
      </c>
      <c r="C24" s="54" t="s">
        <v>133</v>
      </c>
      <c r="D24" s="42">
        <v>2021</v>
      </c>
      <c r="E24" s="43">
        <v>11712</v>
      </c>
      <c r="F24" s="43">
        <f t="shared" si="0"/>
        <v>4422.4511999999995</v>
      </c>
      <c r="G24" s="44">
        <f t="shared" si="1"/>
        <v>7289.5488000000005</v>
      </c>
      <c r="H24" s="43">
        <v>4386</v>
      </c>
      <c r="I24" s="43">
        <f t="shared" si="2"/>
        <v>2903.5488000000005</v>
      </c>
      <c r="J24" s="43">
        <v>1751</v>
      </c>
      <c r="K24" s="43">
        <f>3638+75342</f>
        <v>78980</v>
      </c>
      <c r="L24" s="44">
        <v>71597</v>
      </c>
      <c r="M24" s="43">
        <v>111602</v>
      </c>
      <c r="N24" s="43">
        <v>25353</v>
      </c>
      <c r="O24" s="46">
        <v>239556000</v>
      </c>
      <c r="P24" s="55">
        <f t="shared" si="3"/>
        <v>3.0429414416670844E-3</v>
      </c>
    </row>
    <row r="25" spans="1:16" ht="15" hidden="1" customHeight="1" x14ac:dyDescent="0.3">
      <c r="A25" s="48" t="s">
        <v>129</v>
      </c>
      <c r="B25" s="49" t="s">
        <v>132</v>
      </c>
      <c r="C25" s="50" t="s">
        <v>133</v>
      </c>
      <c r="D25" s="36">
        <v>2022</v>
      </c>
      <c r="E25" s="37">
        <v>12492</v>
      </c>
      <c r="F25" s="37">
        <f t="shared" si="0"/>
        <v>4716.9791999999998</v>
      </c>
      <c r="G25" s="38">
        <f t="shared" si="1"/>
        <v>7775.0208000000002</v>
      </c>
      <c r="H25" s="37">
        <v>4485</v>
      </c>
      <c r="I25" s="37">
        <f t="shared" si="2"/>
        <v>3290.0208000000002</v>
      </c>
      <c r="J25" s="37">
        <v>3725</v>
      </c>
      <c r="K25" s="37">
        <v>61270</v>
      </c>
      <c r="L25" s="38">
        <v>78901</v>
      </c>
      <c r="M25" s="37">
        <v>95214</v>
      </c>
      <c r="N25" s="37">
        <v>25987</v>
      </c>
      <c r="O25" s="40">
        <v>262954000</v>
      </c>
      <c r="P25" s="51">
        <f t="shared" si="3"/>
        <v>2.9567988317348282E-3</v>
      </c>
    </row>
    <row r="26" spans="1:16" ht="15" hidden="1" customHeight="1" x14ac:dyDescent="0.3">
      <c r="A26" s="52" t="s">
        <v>129</v>
      </c>
      <c r="B26" s="53" t="s">
        <v>132</v>
      </c>
      <c r="C26" s="54" t="s">
        <v>133</v>
      </c>
      <c r="D26" s="42">
        <v>2023</v>
      </c>
      <c r="E26" s="43">
        <v>14238</v>
      </c>
      <c r="F26" s="43">
        <f t="shared" si="0"/>
        <v>5376.2687999999998</v>
      </c>
      <c r="G26" s="44">
        <f t="shared" si="1"/>
        <v>8861.7312000000002</v>
      </c>
      <c r="H26" s="43">
        <v>4961</v>
      </c>
      <c r="I26" s="43">
        <f t="shared" si="2"/>
        <v>3900.7312000000002</v>
      </c>
      <c r="J26" s="43">
        <v>4496</v>
      </c>
      <c r="K26" s="43">
        <v>65955</v>
      </c>
      <c r="L26" s="44">
        <v>82462</v>
      </c>
      <c r="M26" s="43">
        <v>100368</v>
      </c>
      <c r="N26" s="43">
        <v>28864</v>
      </c>
      <c r="O26" s="46">
        <v>282097000</v>
      </c>
      <c r="P26" s="55">
        <f t="shared" si="3"/>
        <v>3.1413773276567987E-3</v>
      </c>
    </row>
    <row r="27" spans="1:16" ht="15" hidden="1" customHeight="1" x14ac:dyDescent="0.3">
      <c r="A27" s="48" t="s">
        <v>129</v>
      </c>
      <c r="B27" s="49" t="s">
        <v>132</v>
      </c>
      <c r="C27" s="50" t="s">
        <v>133</v>
      </c>
      <c r="D27" s="36">
        <v>2024</v>
      </c>
      <c r="E27" s="37">
        <v>15425</v>
      </c>
      <c r="F27" s="37">
        <f t="shared" si="0"/>
        <v>5824.48</v>
      </c>
      <c r="G27" s="38">
        <f t="shared" si="1"/>
        <v>9600.52</v>
      </c>
      <c r="H27" s="37">
        <v>5027</v>
      </c>
      <c r="I27" s="37">
        <f t="shared" si="2"/>
        <v>4573.5200000000004</v>
      </c>
      <c r="J27" s="37">
        <v>4017</v>
      </c>
      <c r="K27" s="37">
        <v>68531</v>
      </c>
      <c r="L27" s="38">
        <v>88322</v>
      </c>
      <c r="M27" s="37">
        <v>106851</v>
      </c>
      <c r="N27" s="37">
        <v>31435</v>
      </c>
      <c r="O27" s="40">
        <v>310681000</v>
      </c>
      <c r="P27" s="51">
        <f t="shared" si="3"/>
        <v>3.0901535658762525E-3</v>
      </c>
    </row>
    <row r="28" spans="1:16" ht="15" customHeight="1" x14ac:dyDescent="0.3">
      <c r="A28" s="52" t="s">
        <v>129</v>
      </c>
      <c r="B28" s="53" t="s">
        <v>132</v>
      </c>
      <c r="C28" s="54" t="s">
        <v>133</v>
      </c>
      <c r="D28" s="42">
        <v>2025</v>
      </c>
      <c r="E28" s="43">
        <v>17134</v>
      </c>
      <c r="F28" s="43">
        <f t="shared" si="0"/>
        <v>6469.7983999999997</v>
      </c>
      <c r="G28" s="44">
        <f t="shared" si="1"/>
        <v>10664.2016</v>
      </c>
      <c r="H28" s="43">
        <v>5299</v>
      </c>
      <c r="I28" s="43">
        <f t="shared" si="2"/>
        <v>5365.2016000000003</v>
      </c>
      <c r="J28" s="43">
        <v>4569</v>
      </c>
      <c r="K28" s="43">
        <v>72744</v>
      </c>
      <c r="L28" s="44">
        <v>95212</v>
      </c>
      <c r="M28" s="43">
        <v>113551</v>
      </c>
      <c r="N28" s="43">
        <v>33591</v>
      </c>
      <c r="O28" s="46">
        <v>339978000</v>
      </c>
      <c r="P28" s="55">
        <f t="shared" si="3"/>
        <v>3.1367328474195388E-3</v>
      </c>
    </row>
    <row r="29" spans="1:16" ht="15" hidden="1" customHeight="1" x14ac:dyDescent="0.3">
      <c r="A29" s="48" t="s">
        <v>129</v>
      </c>
      <c r="B29" s="49" t="s">
        <v>134</v>
      </c>
      <c r="C29" s="50" t="s">
        <v>135</v>
      </c>
      <c r="D29" s="36">
        <v>2013</v>
      </c>
      <c r="E29" s="37">
        <v>3166.3</v>
      </c>
      <c r="F29" s="37">
        <f t="shared" si="0"/>
        <v>1195.5948800000001</v>
      </c>
      <c r="G29" s="38">
        <f t="shared" si="1"/>
        <v>1970.7051200000001</v>
      </c>
      <c r="H29" s="37">
        <v>685.6</v>
      </c>
      <c r="I29" s="37">
        <f t="shared" si="2"/>
        <v>1285.1051200000002</v>
      </c>
      <c r="J29" s="37">
        <v>944.3</v>
      </c>
      <c r="K29" s="37">
        <v>1857.8</v>
      </c>
      <c r="L29" s="38">
        <v>16447.2</v>
      </c>
      <c r="M29" s="37">
        <v>19787.8</v>
      </c>
      <c r="N29" s="37">
        <v>17582</v>
      </c>
      <c r="O29" s="40">
        <v>136003000</v>
      </c>
      <c r="P29" s="51">
        <f t="shared" si="3"/>
        <v>1.4490159187664979E-3</v>
      </c>
    </row>
    <row r="30" spans="1:16" ht="15" hidden="1" customHeight="1" x14ac:dyDescent="0.3">
      <c r="A30" s="52" t="s">
        <v>129</v>
      </c>
      <c r="B30" s="53" t="s">
        <v>134</v>
      </c>
      <c r="C30" s="54" t="s">
        <v>135</v>
      </c>
      <c r="D30" s="42">
        <v>2014</v>
      </c>
      <c r="E30" s="43">
        <v>3119.1</v>
      </c>
      <c r="F30" s="43">
        <f t="shared" si="0"/>
        <v>1177.77216</v>
      </c>
      <c r="G30" s="44">
        <f t="shared" si="1"/>
        <v>1941.3278399999999</v>
      </c>
      <c r="H30" s="43">
        <v>816.6</v>
      </c>
      <c r="I30" s="43">
        <f t="shared" si="2"/>
        <v>1124.72784</v>
      </c>
      <c r="J30" s="43">
        <v>511.6</v>
      </c>
      <c r="K30" s="43">
        <v>2328.6</v>
      </c>
      <c r="L30" s="44">
        <v>16576</v>
      </c>
      <c r="M30" s="43">
        <v>22495.3</v>
      </c>
      <c r="N30" s="43">
        <v>19900.400000000001</v>
      </c>
      <c r="O30" s="46">
        <v>144706000</v>
      </c>
      <c r="P30" s="55">
        <f t="shared" si="3"/>
        <v>1.3415669288073747E-3</v>
      </c>
    </row>
    <row r="31" spans="1:16" ht="15" hidden="1" customHeight="1" x14ac:dyDescent="0.3">
      <c r="A31" s="48" t="s">
        <v>129</v>
      </c>
      <c r="B31" s="49" t="s">
        <v>134</v>
      </c>
      <c r="C31" s="50" t="s">
        <v>135</v>
      </c>
      <c r="D31" s="36">
        <v>2015</v>
      </c>
      <c r="E31" s="37">
        <v>3273.9</v>
      </c>
      <c r="F31" s="37">
        <f t="shared" si="0"/>
        <v>1236.2246399999999</v>
      </c>
      <c r="G31" s="38">
        <f t="shared" si="1"/>
        <v>2037.6753600000002</v>
      </c>
      <c r="H31" s="37">
        <v>956.6</v>
      </c>
      <c r="I31" s="37">
        <f t="shared" si="2"/>
        <v>1081.0753600000003</v>
      </c>
      <c r="J31" s="37">
        <v>565.9</v>
      </c>
      <c r="K31" s="37">
        <v>4083.7</v>
      </c>
      <c r="L31" s="38">
        <v>20631.5</v>
      </c>
      <c r="M31" s="37">
        <v>27353.4</v>
      </c>
      <c r="N31" s="37">
        <v>23051.200000000001</v>
      </c>
      <c r="O31" s="40">
        <v>158623000</v>
      </c>
      <c r="P31" s="51">
        <f t="shared" si="3"/>
        <v>1.2846027120909328E-3</v>
      </c>
    </row>
    <row r="32" spans="1:16" ht="15" hidden="1" customHeight="1" x14ac:dyDescent="0.3">
      <c r="A32" s="52" t="s">
        <v>129</v>
      </c>
      <c r="B32" s="53" t="s">
        <v>134</v>
      </c>
      <c r="C32" s="54" t="s">
        <v>135</v>
      </c>
      <c r="D32" s="42">
        <v>2016</v>
      </c>
      <c r="E32" s="43">
        <v>3715.7</v>
      </c>
      <c r="F32" s="43">
        <f t="shared" si="0"/>
        <v>1403.0483199999999</v>
      </c>
      <c r="G32" s="44">
        <f t="shared" si="1"/>
        <v>2312.6516799999999</v>
      </c>
      <c r="H32" s="43">
        <v>1094.7</v>
      </c>
      <c r="I32" s="43">
        <f t="shared" si="2"/>
        <v>1217.9516799999999</v>
      </c>
      <c r="J32" s="43">
        <v>244.3</v>
      </c>
      <c r="K32" s="43">
        <v>4495.6000000000004</v>
      </c>
      <c r="L32" s="44">
        <v>23207.8</v>
      </c>
      <c r="M32" s="43">
        <v>30954.9</v>
      </c>
      <c r="N32" s="43">
        <v>26236.799999999999</v>
      </c>
      <c r="O32" s="46">
        <v>168765000</v>
      </c>
      <c r="P32" s="55">
        <f t="shared" si="3"/>
        <v>1.3703384469528634E-3</v>
      </c>
    </row>
    <row r="33" spans="1:16" ht="15" hidden="1" customHeight="1" x14ac:dyDescent="0.3">
      <c r="A33" s="48" t="s">
        <v>129</v>
      </c>
      <c r="B33" s="49" t="s">
        <v>134</v>
      </c>
      <c r="C33" s="50" t="s">
        <v>135</v>
      </c>
      <c r="D33" s="36">
        <v>2017</v>
      </c>
      <c r="E33" s="37">
        <v>4089</v>
      </c>
      <c r="F33" s="37">
        <f t="shared" si="0"/>
        <v>1544.0064</v>
      </c>
      <c r="G33" s="38">
        <f t="shared" si="1"/>
        <v>2544.9935999999998</v>
      </c>
      <c r="H33" s="37">
        <v>1225</v>
      </c>
      <c r="I33" s="37">
        <f t="shared" si="2"/>
        <v>1319.9935999999998</v>
      </c>
      <c r="J33" s="37">
        <v>1314</v>
      </c>
      <c r="K33" s="37">
        <v>6480</v>
      </c>
      <c r="L33" s="38">
        <v>29089</v>
      </c>
      <c r="M33" s="37">
        <v>34005</v>
      </c>
      <c r="N33" s="37">
        <v>26543</v>
      </c>
      <c r="O33" s="40">
        <v>179315000</v>
      </c>
      <c r="P33" s="51">
        <f t="shared" si="3"/>
        <v>1.4192865069849148E-3</v>
      </c>
    </row>
    <row r="34" spans="1:16" ht="15" hidden="1" customHeight="1" x14ac:dyDescent="0.3">
      <c r="A34" s="52" t="s">
        <v>129</v>
      </c>
      <c r="B34" s="53" t="s">
        <v>134</v>
      </c>
      <c r="C34" s="54" t="s">
        <v>135</v>
      </c>
      <c r="D34" s="42">
        <v>2018</v>
      </c>
      <c r="E34" s="43">
        <v>4045</v>
      </c>
      <c r="F34" s="43">
        <f t="shared" si="0"/>
        <v>1527.3920000000001</v>
      </c>
      <c r="G34" s="44">
        <f t="shared" si="1"/>
        <v>2517.6080000000002</v>
      </c>
      <c r="H34" s="43">
        <v>1281</v>
      </c>
      <c r="I34" s="43">
        <f t="shared" si="2"/>
        <v>1236.6080000000002</v>
      </c>
      <c r="J34" s="43">
        <v>1378</v>
      </c>
      <c r="K34" s="43">
        <v>9665</v>
      </c>
      <c r="L34" s="44">
        <v>25865</v>
      </c>
      <c r="M34" s="43">
        <v>39059</v>
      </c>
      <c r="N34" s="43">
        <v>27097</v>
      </c>
      <c r="O34" s="46">
        <v>189435000</v>
      </c>
      <c r="P34" s="55">
        <f t="shared" si="3"/>
        <v>1.329008894871592E-3</v>
      </c>
    </row>
    <row r="35" spans="1:16" ht="15" hidden="1" customHeight="1" x14ac:dyDescent="0.3">
      <c r="A35" s="48" t="s">
        <v>129</v>
      </c>
      <c r="B35" s="49" t="s">
        <v>134</v>
      </c>
      <c r="C35" s="50" t="s">
        <v>135</v>
      </c>
      <c r="D35" s="36">
        <v>2019</v>
      </c>
      <c r="E35" s="37">
        <v>8347</v>
      </c>
      <c r="F35" s="37">
        <f t="shared" si="0"/>
        <v>3151.8271999999997</v>
      </c>
      <c r="G35" s="38">
        <f t="shared" si="1"/>
        <v>5195.1728000000003</v>
      </c>
      <c r="H35" s="37">
        <v>1434</v>
      </c>
      <c r="I35" s="37">
        <f t="shared" si="2"/>
        <v>3761.1728000000003</v>
      </c>
      <c r="J35" s="37">
        <v>1374</v>
      </c>
      <c r="K35" s="37">
        <v>13010</v>
      </c>
      <c r="L35" s="38">
        <v>28952</v>
      </c>
      <c r="M35" s="37">
        <v>40357</v>
      </c>
      <c r="N35" s="37">
        <v>27770</v>
      </c>
      <c r="O35" s="40">
        <v>195548000</v>
      </c>
      <c r="P35" s="51">
        <f t="shared" si="3"/>
        <v>2.6567251007425289E-3</v>
      </c>
    </row>
    <row r="36" spans="1:16" ht="15" hidden="1" customHeight="1" x14ac:dyDescent="0.3">
      <c r="A36" s="52" t="s">
        <v>129</v>
      </c>
      <c r="B36" s="53" t="s">
        <v>134</v>
      </c>
      <c r="C36" s="54" t="s">
        <v>135</v>
      </c>
      <c r="D36" s="42">
        <v>2020</v>
      </c>
      <c r="E36" s="43">
        <v>11592</v>
      </c>
      <c r="F36" s="43">
        <f t="shared" si="0"/>
        <v>4377.1391999999996</v>
      </c>
      <c r="G36" s="44">
        <f t="shared" si="1"/>
        <v>7214.8608000000004</v>
      </c>
      <c r="H36" s="43">
        <v>4165</v>
      </c>
      <c r="I36" s="43">
        <f t="shared" si="2"/>
        <v>3049.8608000000004</v>
      </c>
      <c r="J36" s="43">
        <v>1642</v>
      </c>
      <c r="K36" s="43">
        <v>14504</v>
      </c>
      <c r="L36" s="44">
        <v>29978</v>
      </c>
      <c r="M36" s="43">
        <v>42356</v>
      </c>
      <c r="N36" s="43">
        <v>28911</v>
      </c>
      <c r="O36" s="46">
        <v>201307000</v>
      </c>
      <c r="P36" s="55">
        <f t="shared" si="3"/>
        <v>3.5840089018265636E-3</v>
      </c>
    </row>
    <row r="37" spans="1:16" ht="15" hidden="1" customHeight="1" x14ac:dyDescent="0.3">
      <c r="A37" s="48" t="s">
        <v>129</v>
      </c>
      <c r="B37" s="49" t="s">
        <v>134</v>
      </c>
      <c r="C37" s="50" t="s">
        <v>135</v>
      </c>
      <c r="D37" s="36">
        <v>2021</v>
      </c>
      <c r="E37" s="37">
        <v>3067</v>
      </c>
      <c r="F37" s="37">
        <f t="shared" si="0"/>
        <v>1158.0991999999999</v>
      </c>
      <c r="G37" s="38">
        <f t="shared" si="1"/>
        <v>1908.9008000000001</v>
      </c>
      <c r="H37" s="37">
        <v>1368</v>
      </c>
      <c r="I37" s="37">
        <f t="shared" si="2"/>
        <v>540.90080000000012</v>
      </c>
      <c r="J37" s="37">
        <v>222</v>
      </c>
      <c r="K37" s="37">
        <f>13086+222</f>
        <v>13308</v>
      </c>
      <c r="L37" s="38">
        <v>29278</v>
      </c>
      <c r="M37" s="37">
        <v>42374</v>
      </c>
      <c r="N37" s="37">
        <v>28679</v>
      </c>
      <c r="O37" s="40">
        <v>239556000</v>
      </c>
      <c r="P37" s="51">
        <f t="shared" si="3"/>
        <v>7.9684950491743065E-4</v>
      </c>
    </row>
    <row r="38" spans="1:16" ht="15" hidden="1" customHeight="1" x14ac:dyDescent="0.3">
      <c r="A38" s="52" t="s">
        <v>129</v>
      </c>
      <c r="B38" s="53" t="s">
        <v>134</v>
      </c>
      <c r="C38" s="54" t="s">
        <v>135</v>
      </c>
      <c r="D38" s="42">
        <v>2022</v>
      </c>
      <c r="E38" s="43">
        <v>3573</v>
      </c>
      <c r="F38" s="43">
        <f t="shared" si="0"/>
        <v>1349.1648</v>
      </c>
      <c r="G38" s="44">
        <f t="shared" si="1"/>
        <v>2223.8352</v>
      </c>
      <c r="H38" s="43">
        <v>1423.8</v>
      </c>
      <c r="I38" s="43">
        <f t="shared" si="2"/>
        <v>800.03520000000003</v>
      </c>
      <c r="J38" s="43">
        <v>547</v>
      </c>
      <c r="K38" s="43">
        <v>10728</v>
      </c>
      <c r="L38" s="44">
        <v>35104</v>
      </c>
      <c r="M38" s="43">
        <v>40571</v>
      </c>
      <c r="N38" s="43">
        <v>32934</v>
      </c>
      <c r="O38" s="46">
        <v>262954000</v>
      </c>
      <c r="P38" s="55">
        <f t="shared" si="3"/>
        <v>8.4571263414893864E-4</v>
      </c>
    </row>
    <row r="39" spans="1:16" ht="15" hidden="1" customHeight="1" x14ac:dyDescent="0.3">
      <c r="A39" s="48" t="s">
        <v>129</v>
      </c>
      <c r="B39" s="49" t="s">
        <v>134</v>
      </c>
      <c r="C39" s="50" t="s">
        <v>135</v>
      </c>
      <c r="D39" s="36">
        <v>2023</v>
      </c>
      <c r="E39" s="37">
        <v>4201</v>
      </c>
      <c r="F39" s="37">
        <f t="shared" si="0"/>
        <v>1586.2975999999999</v>
      </c>
      <c r="G39" s="38">
        <f t="shared" si="1"/>
        <v>2614.7024000000001</v>
      </c>
      <c r="H39" s="37">
        <v>1710.6</v>
      </c>
      <c r="I39" s="37">
        <f t="shared" si="2"/>
        <v>904.10240000000022</v>
      </c>
      <c r="J39" s="37">
        <v>416</v>
      </c>
      <c r="K39" s="37">
        <v>13222</v>
      </c>
      <c r="L39" s="38">
        <v>38650</v>
      </c>
      <c r="M39" s="37">
        <v>49796</v>
      </c>
      <c r="N39" s="37">
        <v>31082</v>
      </c>
      <c r="O39" s="40">
        <v>282097000</v>
      </c>
      <c r="P39" s="51">
        <f t="shared" si="3"/>
        <v>9.2688061198807506E-4</v>
      </c>
    </row>
    <row r="40" spans="1:16" ht="15" hidden="1" customHeight="1" x14ac:dyDescent="0.3">
      <c r="A40" s="52" t="s">
        <v>129</v>
      </c>
      <c r="B40" s="53" t="s">
        <v>134</v>
      </c>
      <c r="C40" s="54" t="s">
        <v>135</v>
      </c>
      <c r="D40" s="42">
        <v>2024</v>
      </c>
      <c r="E40" s="43">
        <v>5930</v>
      </c>
      <c r="F40" s="43">
        <f t="shared" si="0"/>
        <v>2239.1680000000001</v>
      </c>
      <c r="G40" s="44">
        <f t="shared" si="1"/>
        <v>3690.8319999999999</v>
      </c>
      <c r="H40" s="43">
        <v>3030</v>
      </c>
      <c r="I40" s="43">
        <f t="shared" si="2"/>
        <v>660.83199999999988</v>
      </c>
      <c r="J40" s="43">
        <v>-828</v>
      </c>
      <c r="K40" s="43">
        <v>15822</v>
      </c>
      <c r="L40" s="44">
        <v>52786</v>
      </c>
      <c r="M40" s="43">
        <v>58304</v>
      </c>
      <c r="N40" s="43">
        <v>31289</v>
      </c>
      <c r="O40" s="46">
        <v>310681000</v>
      </c>
      <c r="P40" s="55">
        <f t="shared" si="3"/>
        <v>1.1879812412088284E-3</v>
      </c>
    </row>
    <row r="41" spans="1:16" ht="15" customHeight="1" x14ac:dyDescent="0.3">
      <c r="A41" s="48" t="s">
        <v>129</v>
      </c>
      <c r="B41" s="49" t="s">
        <v>134</v>
      </c>
      <c r="C41" s="50" t="s">
        <v>135</v>
      </c>
      <c r="D41" s="36">
        <v>2025</v>
      </c>
      <c r="E41" s="37">
        <v>7250</v>
      </c>
      <c r="F41" s="37">
        <f t="shared" si="0"/>
        <v>2737.6</v>
      </c>
      <c r="G41" s="38">
        <f t="shared" si="1"/>
        <v>4512.3999999999996</v>
      </c>
      <c r="H41" s="37">
        <v>2848.2</v>
      </c>
      <c r="I41" s="37">
        <f t="shared" si="2"/>
        <v>1664.1999999999998</v>
      </c>
      <c r="J41" s="37">
        <v>853</v>
      </c>
      <c r="K41" s="37">
        <v>23316</v>
      </c>
      <c r="L41" s="38">
        <v>57185</v>
      </c>
      <c r="M41" s="37">
        <v>62695</v>
      </c>
      <c r="N41" s="37">
        <v>31905</v>
      </c>
      <c r="O41" s="40">
        <v>339978000</v>
      </c>
      <c r="P41" s="51">
        <f t="shared" si="3"/>
        <v>1.3272623522698527E-3</v>
      </c>
    </row>
    <row r="42" spans="1:16" ht="15" hidden="1" customHeight="1" x14ac:dyDescent="0.3">
      <c r="A42" s="52" t="s">
        <v>129</v>
      </c>
      <c r="B42" s="53" t="s">
        <v>136</v>
      </c>
      <c r="C42" s="54" t="s">
        <v>137</v>
      </c>
      <c r="D42" s="42">
        <v>2013</v>
      </c>
      <c r="E42" s="43">
        <v>3819.8</v>
      </c>
      <c r="F42" s="43">
        <f t="shared" si="0"/>
        <v>1442.3564800000001</v>
      </c>
      <c r="G42" s="44">
        <f t="shared" si="1"/>
        <v>2377.4435199999998</v>
      </c>
      <c r="H42" s="43">
        <v>1771.9</v>
      </c>
      <c r="I42" s="43">
        <f t="shared" si="2"/>
        <v>605.54351999999972</v>
      </c>
      <c r="J42" s="43">
        <v>-446.8</v>
      </c>
      <c r="K42" s="43">
        <v>7217.6</v>
      </c>
      <c r="L42" s="44">
        <v>13354.8</v>
      </c>
      <c r="M42" s="43">
        <v>16980.099999999999</v>
      </c>
      <c r="N42" s="43">
        <v>7794.1</v>
      </c>
      <c r="O42" s="46">
        <v>136003000</v>
      </c>
      <c r="P42" s="55">
        <f t="shared" si="3"/>
        <v>1.748081674668941E-3</v>
      </c>
    </row>
    <row r="43" spans="1:16" ht="15" hidden="1" customHeight="1" x14ac:dyDescent="0.3">
      <c r="A43" s="48" t="s">
        <v>129</v>
      </c>
      <c r="B43" s="49" t="s">
        <v>136</v>
      </c>
      <c r="C43" s="50" t="s">
        <v>137</v>
      </c>
      <c r="D43" s="36">
        <v>2014</v>
      </c>
      <c r="E43" s="37">
        <v>3415.5</v>
      </c>
      <c r="F43" s="37">
        <f t="shared" si="0"/>
        <v>1289.6928</v>
      </c>
      <c r="G43" s="38">
        <f t="shared" si="1"/>
        <v>2125.8072000000002</v>
      </c>
      <c r="H43" s="37">
        <v>1605.6</v>
      </c>
      <c r="I43" s="37">
        <f t="shared" si="2"/>
        <v>520.20720000000028</v>
      </c>
      <c r="J43" s="37">
        <v>-267.8</v>
      </c>
      <c r="K43" s="37">
        <v>7728.9</v>
      </c>
      <c r="L43" s="38">
        <v>12100.4</v>
      </c>
      <c r="M43" s="37">
        <v>15653.3</v>
      </c>
      <c r="N43" s="37">
        <v>7501.2</v>
      </c>
      <c r="O43" s="40">
        <v>144706000</v>
      </c>
      <c r="P43" s="51">
        <f t="shared" si="3"/>
        <v>1.4690525617458848E-3</v>
      </c>
    </row>
    <row r="44" spans="1:16" ht="15" hidden="1" customHeight="1" x14ac:dyDescent="0.3">
      <c r="A44" s="52" t="s">
        <v>129</v>
      </c>
      <c r="B44" s="53" t="s">
        <v>136</v>
      </c>
      <c r="C44" s="54" t="s">
        <v>137</v>
      </c>
      <c r="D44" s="42">
        <v>2015</v>
      </c>
      <c r="E44" s="43">
        <v>3276.4</v>
      </c>
      <c r="F44" s="43">
        <f t="shared" si="0"/>
        <v>1237.1686400000001</v>
      </c>
      <c r="G44" s="44">
        <f t="shared" si="1"/>
        <v>2039.23136</v>
      </c>
      <c r="H44" s="43">
        <v>1827.3</v>
      </c>
      <c r="I44" s="43">
        <f t="shared" si="2"/>
        <v>211.93136000000004</v>
      </c>
      <c r="J44" s="43">
        <v>-424.1</v>
      </c>
      <c r="K44" s="43">
        <v>7292.3</v>
      </c>
      <c r="L44" s="44">
        <v>12456.7</v>
      </c>
      <c r="M44" s="43">
        <v>14763.8</v>
      </c>
      <c r="N44" s="43">
        <v>7272.6</v>
      </c>
      <c r="O44" s="46">
        <v>158623000</v>
      </c>
      <c r="P44" s="55">
        <f t="shared" si="3"/>
        <v>1.285583654325035E-3</v>
      </c>
    </row>
    <row r="45" spans="1:16" ht="15" hidden="1" customHeight="1" x14ac:dyDescent="0.3">
      <c r="A45" s="48" t="s">
        <v>129</v>
      </c>
      <c r="B45" s="49" t="s">
        <v>136</v>
      </c>
      <c r="C45" s="50" t="s">
        <v>137</v>
      </c>
      <c r="D45" s="36">
        <v>2016</v>
      </c>
      <c r="E45" s="37">
        <v>3389.2</v>
      </c>
      <c r="F45" s="37">
        <f t="shared" si="0"/>
        <v>1279.7619199999999</v>
      </c>
      <c r="G45" s="38">
        <f t="shared" si="1"/>
        <v>2109.4380799999999</v>
      </c>
      <c r="H45" s="37">
        <v>1658</v>
      </c>
      <c r="I45" s="37">
        <f t="shared" si="2"/>
        <v>451.4380799999999</v>
      </c>
      <c r="J45" s="37">
        <v>123.3</v>
      </c>
      <c r="K45" s="37">
        <v>7939.6</v>
      </c>
      <c r="L45" s="38">
        <v>13557.6</v>
      </c>
      <c r="M45" s="37">
        <v>15715.4</v>
      </c>
      <c r="N45" s="37">
        <v>7590.4</v>
      </c>
      <c r="O45" s="40">
        <v>168765000</v>
      </c>
      <c r="P45" s="51">
        <f t="shared" si="3"/>
        <v>1.2499262761828578E-3</v>
      </c>
    </row>
    <row r="46" spans="1:16" ht="15" hidden="1" customHeight="1" x14ac:dyDescent="0.3">
      <c r="A46" s="52" t="s">
        <v>129</v>
      </c>
      <c r="B46" s="53" t="s">
        <v>136</v>
      </c>
      <c r="C46" s="54" t="s">
        <v>137</v>
      </c>
      <c r="D46" s="42">
        <v>2017</v>
      </c>
      <c r="E46" s="43">
        <v>3458</v>
      </c>
      <c r="F46" s="43">
        <f t="shared" si="0"/>
        <v>1305.7408</v>
      </c>
      <c r="G46" s="44">
        <f t="shared" si="1"/>
        <v>2152.2592</v>
      </c>
      <c r="H46" s="43">
        <v>1664</v>
      </c>
      <c r="I46" s="43">
        <f t="shared" si="2"/>
        <v>488.25919999999996</v>
      </c>
      <c r="J46" s="43">
        <v>145</v>
      </c>
      <c r="K46" s="43">
        <v>8045</v>
      </c>
      <c r="L46" s="44">
        <v>13864</v>
      </c>
      <c r="M46" s="43">
        <v>17021</v>
      </c>
      <c r="N46" s="43">
        <v>8617</v>
      </c>
      <c r="O46" s="46">
        <v>179315000</v>
      </c>
      <c r="P46" s="55">
        <f t="shared" si="3"/>
        <v>1.200267239215905E-3</v>
      </c>
    </row>
    <row r="47" spans="1:16" ht="15" hidden="1" customHeight="1" x14ac:dyDescent="0.3">
      <c r="A47" s="48" t="s">
        <v>129</v>
      </c>
      <c r="B47" s="49" t="s">
        <v>136</v>
      </c>
      <c r="C47" s="50" t="s">
        <v>137</v>
      </c>
      <c r="D47" s="36">
        <v>2018</v>
      </c>
      <c r="E47" s="37">
        <v>3218</v>
      </c>
      <c r="F47" s="37">
        <f t="shared" si="0"/>
        <v>1215.1168</v>
      </c>
      <c r="G47" s="38">
        <f t="shared" si="1"/>
        <v>2002.8832</v>
      </c>
      <c r="H47" s="37">
        <v>1736</v>
      </c>
      <c r="I47" s="37">
        <f t="shared" si="2"/>
        <v>266.88319999999999</v>
      </c>
      <c r="J47" s="37">
        <v>-833</v>
      </c>
      <c r="K47" s="37">
        <v>8359</v>
      </c>
      <c r="L47" s="38">
        <v>12566</v>
      </c>
      <c r="M47" s="37">
        <v>16872</v>
      </c>
      <c r="N47" s="37">
        <v>7764</v>
      </c>
      <c r="O47" s="40">
        <v>189435000</v>
      </c>
      <c r="P47" s="51">
        <f t="shared" si="3"/>
        <v>1.057293108454087E-3</v>
      </c>
    </row>
    <row r="48" spans="1:16" ht="15" hidden="1" customHeight="1" x14ac:dyDescent="0.3">
      <c r="A48" s="52" t="s">
        <v>129</v>
      </c>
      <c r="B48" s="53" t="s">
        <v>136</v>
      </c>
      <c r="C48" s="54" t="s">
        <v>137</v>
      </c>
      <c r="D48" s="42">
        <v>2019</v>
      </c>
      <c r="E48" s="43">
        <v>2805</v>
      </c>
      <c r="F48" s="43">
        <f t="shared" si="0"/>
        <v>1059.1679999999999</v>
      </c>
      <c r="G48" s="44">
        <f t="shared" si="1"/>
        <v>1745.8320000000001</v>
      </c>
      <c r="H48" s="43">
        <v>1803</v>
      </c>
      <c r="I48" s="43">
        <f t="shared" si="2"/>
        <v>-57.167999999999893</v>
      </c>
      <c r="J48" s="43">
        <v>-628</v>
      </c>
      <c r="K48" s="43">
        <v>8203</v>
      </c>
      <c r="L48" s="44">
        <v>11034</v>
      </c>
      <c r="M48" s="43">
        <v>16086</v>
      </c>
      <c r="N48" s="43">
        <v>7115</v>
      </c>
      <c r="O48" s="46">
        <v>195548000</v>
      </c>
      <c r="P48" s="55">
        <f t="shared" si="3"/>
        <v>8.9278949413954629E-4</v>
      </c>
    </row>
    <row r="49" spans="1:16" ht="15" hidden="1" customHeight="1" x14ac:dyDescent="0.3">
      <c r="A49" s="48" t="s">
        <v>129</v>
      </c>
      <c r="B49" s="49" t="s">
        <v>136</v>
      </c>
      <c r="C49" s="50" t="s">
        <v>137</v>
      </c>
      <c r="D49" s="36">
        <v>2020</v>
      </c>
      <c r="E49" s="37">
        <v>1915</v>
      </c>
      <c r="F49" s="37">
        <f t="shared" si="0"/>
        <v>723.10399999999993</v>
      </c>
      <c r="G49" s="38">
        <f t="shared" si="1"/>
        <v>1191.8960000000002</v>
      </c>
      <c r="H49" s="37">
        <v>1831</v>
      </c>
      <c r="I49" s="37">
        <f t="shared" si="2"/>
        <v>-639.10399999999981</v>
      </c>
      <c r="J49" s="37">
        <v>-1361</v>
      </c>
      <c r="K49" s="37">
        <v>6067</v>
      </c>
      <c r="L49" s="38">
        <v>8931</v>
      </c>
      <c r="M49" s="37">
        <v>15029</v>
      </c>
      <c r="N49" s="37">
        <v>6480</v>
      </c>
      <c r="O49" s="40">
        <v>201307000</v>
      </c>
      <c r="P49" s="51">
        <f t="shared" si="3"/>
        <v>5.9207876526896734E-4</v>
      </c>
    </row>
    <row r="50" spans="1:16" ht="15" hidden="1" customHeight="1" x14ac:dyDescent="0.3">
      <c r="A50" s="52" t="s">
        <v>129</v>
      </c>
      <c r="B50" s="53" t="s">
        <v>136</v>
      </c>
      <c r="C50" s="54" t="s">
        <v>137</v>
      </c>
      <c r="D50" s="42">
        <v>2021</v>
      </c>
      <c r="E50" s="43">
        <v>2188</v>
      </c>
      <c r="F50" s="43">
        <f>0.3776*E50</f>
        <v>826.18880000000001</v>
      </c>
      <c r="G50" s="44">
        <f>+E50-F50</f>
        <v>1361.8112000000001</v>
      </c>
      <c r="H50" s="43">
        <v>1269</v>
      </c>
      <c r="I50" s="43">
        <f>+G50-H50</f>
        <v>92.811200000000099</v>
      </c>
      <c r="J50" s="43">
        <v>1</v>
      </c>
      <c r="K50" s="43">
        <v>9493</v>
      </c>
      <c r="L50" s="44">
        <v>9112</v>
      </c>
      <c r="M50" s="43">
        <v>15707</v>
      </c>
      <c r="N50" s="43">
        <v>5660</v>
      </c>
      <c r="O50" s="46">
        <v>239556000</v>
      </c>
      <c r="P50" s="55">
        <f t="shared" si="3"/>
        <v>5.6847300839887123E-4</v>
      </c>
    </row>
    <row r="51" spans="1:16" ht="15" hidden="1" customHeight="1" x14ac:dyDescent="0.3">
      <c r="A51" s="48" t="s">
        <v>129</v>
      </c>
      <c r="B51" s="49" t="s">
        <v>136</v>
      </c>
      <c r="C51" s="50" t="s">
        <v>137</v>
      </c>
      <c r="D51" s="36">
        <v>2022</v>
      </c>
      <c r="E51" s="37">
        <v>3323</v>
      </c>
      <c r="F51" s="37">
        <f>0.3776*E51</f>
        <v>1254.7647999999999</v>
      </c>
      <c r="G51" s="38">
        <f t="shared" ref="G51" si="4">+E51-F51</f>
        <v>2068.2352000000001</v>
      </c>
      <c r="H51" s="37">
        <v>1018</v>
      </c>
      <c r="I51" s="37">
        <f t="shared" ref="I51:I54" si="5">+G51-H51</f>
        <v>1050.2352000000001</v>
      </c>
      <c r="J51" s="37">
        <v>-234</v>
      </c>
      <c r="K51" s="37">
        <v>8151</v>
      </c>
      <c r="L51" s="38">
        <v>9300</v>
      </c>
      <c r="M51" s="37">
        <v>13697</v>
      </c>
      <c r="N51" s="37">
        <v>5263</v>
      </c>
      <c r="O51" s="40">
        <v>262954000</v>
      </c>
      <c r="P51" s="51">
        <f t="shared" si="3"/>
        <v>7.8653878625158785E-4</v>
      </c>
    </row>
    <row r="52" spans="1:16" ht="15" hidden="1" customHeight="1" x14ac:dyDescent="0.3">
      <c r="A52" s="52" t="s">
        <v>129</v>
      </c>
      <c r="B52" s="53" t="s">
        <v>136</v>
      </c>
      <c r="C52" s="54" t="s">
        <v>137</v>
      </c>
      <c r="D52" s="42">
        <v>2023</v>
      </c>
      <c r="E52" s="43">
        <v>2591</v>
      </c>
      <c r="F52" s="43">
        <f>0.3776*E52</f>
        <v>978.36159999999995</v>
      </c>
      <c r="G52" s="44">
        <f t="shared" ref="G52:G72" si="6">+E52-F52</f>
        <v>1612.6384</v>
      </c>
      <c r="H52" s="43">
        <v>1432</v>
      </c>
      <c r="I52" s="43">
        <f t="shared" si="5"/>
        <v>180.63840000000005</v>
      </c>
      <c r="J52" s="43">
        <v>-762</v>
      </c>
      <c r="K52" s="43">
        <v>7364</v>
      </c>
      <c r="L52" s="44">
        <v>9030</v>
      </c>
      <c r="M52" s="43">
        <v>12177</v>
      </c>
      <c r="N52" s="43">
        <v>4422</v>
      </c>
      <c r="O52" s="46">
        <v>282097000</v>
      </c>
      <c r="P52" s="55">
        <f t="shared" si="3"/>
        <v>5.7166095350180972E-4</v>
      </c>
    </row>
    <row r="53" spans="1:16" ht="15" hidden="1" customHeight="1" x14ac:dyDescent="0.3">
      <c r="A53" s="48" t="s">
        <v>129</v>
      </c>
      <c r="B53" s="49" t="s">
        <v>136</v>
      </c>
      <c r="C53" s="50" t="s">
        <v>137</v>
      </c>
      <c r="D53" s="36">
        <v>2024</v>
      </c>
      <c r="E53" s="37">
        <v>2322</v>
      </c>
      <c r="F53" s="37">
        <f t="shared" ref="F53:F54" si="7">0.3776*E53</f>
        <v>876.78719999999998</v>
      </c>
      <c r="G53" s="38">
        <f t="shared" si="6"/>
        <v>1445.2128</v>
      </c>
      <c r="H53" s="37">
        <v>1554</v>
      </c>
      <c r="I53" s="37">
        <f t="shared" si="5"/>
        <v>-108.78719999999998</v>
      </c>
      <c r="J53" s="37">
        <v>-715</v>
      </c>
      <c r="K53" s="37">
        <v>8734</v>
      </c>
      <c r="L53" s="38">
        <v>9688</v>
      </c>
      <c r="M53" s="37">
        <v>12762</v>
      </c>
      <c r="N53" s="37">
        <v>3624</v>
      </c>
      <c r="O53" s="40">
        <v>310681000</v>
      </c>
      <c r="P53" s="51">
        <f t="shared" si="3"/>
        <v>4.6517579124568287E-4</v>
      </c>
    </row>
    <row r="54" spans="1:16" ht="15" customHeight="1" x14ac:dyDescent="0.3">
      <c r="A54" s="52" t="s">
        <v>129</v>
      </c>
      <c r="B54" s="53" t="s">
        <v>136</v>
      </c>
      <c r="C54" s="54" t="s">
        <v>137</v>
      </c>
      <c r="D54" s="42">
        <v>2025</v>
      </c>
      <c r="E54" s="43">
        <v>2284</v>
      </c>
      <c r="F54" s="43">
        <f t="shared" si="7"/>
        <v>862.4384</v>
      </c>
      <c r="G54" s="44">
        <f t="shared" si="6"/>
        <v>1421.5616</v>
      </c>
      <c r="H54" s="43">
        <v>1205</v>
      </c>
      <c r="I54" s="43">
        <f t="shared" si="5"/>
        <v>216.5616</v>
      </c>
      <c r="J54" s="43">
        <v>-224</v>
      </c>
      <c r="K54" s="43">
        <v>9437</v>
      </c>
      <c r="L54" s="44">
        <v>8855</v>
      </c>
      <c r="M54" s="43">
        <v>13254</v>
      </c>
      <c r="N54" s="43">
        <v>3328</v>
      </c>
      <c r="O54" s="46">
        <v>339978000</v>
      </c>
      <c r="P54" s="55">
        <f t="shared" si="3"/>
        <v>4.1813340863232324E-4</v>
      </c>
    </row>
    <row r="55" spans="1:16" ht="15" hidden="1" customHeight="1" x14ac:dyDescent="0.3">
      <c r="A55" s="52" t="s">
        <v>129</v>
      </c>
      <c r="B55" s="53" t="s">
        <v>138</v>
      </c>
      <c r="C55" s="54" t="s">
        <v>139</v>
      </c>
      <c r="D55" s="42">
        <v>2013</v>
      </c>
      <c r="E55" s="43">
        <v>203410.1</v>
      </c>
      <c r="F55" s="43">
        <f t="shared" ref="F55:F72" si="8">0.3776*E55</f>
        <v>76807.653760000001</v>
      </c>
      <c r="G55" s="44">
        <f t="shared" si="6"/>
        <v>126602.44624</v>
      </c>
      <c r="H55" s="43">
        <v>42042.9</v>
      </c>
      <c r="I55" s="43">
        <f t="shared" ref="I55:I72" si="9">+G55-H55</f>
        <v>84559.546239999996</v>
      </c>
      <c r="J55" s="43">
        <v>32279.200000000001</v>
      </c>
      <c r="K55" s="43">
        <v>500278</v>
      </c>
      <c r="L55" s="44">
        <v>1044295.6</v>
      </c>
      <c r="M55" s="43">
        <v>1137043.2</v>
      </c>
      <c r="N55" s="43">
        <v>365114.1</v>
      </c>
      <c r="O55" s="46">
        <v>136003000</v>
      </c>
      <c r="P55" s="55">
        <f t="shared" ref="P55:P73" si="10">+(G55/O55)*100</f>
        <v>9.3087980588663494E-2</v>
      </c>
    </row>
    <row r="56" spans="1:16" ht="15" hidden="1" customHeight="1" x14ac:dyDescent="0.3">
      <c r="A56" s="48" t="s">
        <v>129</v>
      </c>
      <c r="B56" s="49" t="s">
        <v>138</v>
      </c>
      <c r="C56" s="50" t="s">
        <v>139</v>
      </c>
      <c r="D56" s="36">
        <v>2014</v>
      </c>
      <c r="E56" s="37">
        <v>199513.2</v>
      </c>
      <c r="F56" s="37">
        <f t="shared" si="8"/>
        <v>75336.18432</v>
      </c>
      <c r="G56" s="38">
        <f t="shared" si="6"/>
        <v>124177.01568000001</v>
      </c>
      <c r="H56" s="37">
        <v>41701.1</v>
      </c>
      <c r="I56" s="37">
        <f t="shared" si="9"/>
        <v>82475.915680000006</v>
      </c>
      <c r="J56" s="37">
        <v>31031</v>
      </c>
      <c r="K56" s="37">
        <v>502677.4</v>
      </c>
      <c r="L56" s="38">
        <v>1055305.7</v>
      </c>
      <c r="M56" s="37">
        <v>1143544.2</v>
      </c>
      <c r="N56" s="37">
        <v>382225.8</v>
      </c>
      <c r="O56" s="40">
        <v>144706000</v>
      </c>
      <c r="P56" s="51">
        <f t="shared" si="10"/>
        <v>8.5813315052589392E-2</v>
      </c>
    </row>
    <row r="57" spans="1:16" ht="15" hidden="1" customHeight="1" x14ac:dyDescent="0.3">
      <c r="A57" s="52" t="s">
        <v>129</v>
      </c>
      <c r="B57" s="53" t="s">
        <v>138</v>
      </c>
      <c r="C57" s="54" t="s">
        <v>139</v>
      </c>
      <c r="D57" s="42">
        <v>2015</v>
      </c>
      <c r="E57" s="43">
        <v>205966.5</v>
      </c>
      <c r="F57" s="43">
        <f t="shared" si="8"/>
        <v>77772.950400000002</v>
      </c>
      <c r="G57" s="44">
        <f t="shared" si="6"/>
        <v>128193.5496</v>
      </c>
      <c r="H57" s="43">
        <v>46345.1</v>
      </c>
      <c r="I57" s="43">
        <f t="shared" si="9"/>
        <v>81848.449599999993</v>
      </c>
      <c r="J57" s="43">
        <v>35610.199999999997</v>
      </c>
      <c r="K57" s="43">
        <v>532096.9</v>
      </c>
      <c r="L57" s="44">
        <v>1115058.7</v>
      </c>
      <c r="M57" s="43">
        <v>1241436.8</v>
      </c>
      <c r="N57" s="43">
        <v>419116.1</v>
      </c>
      <c r="O57" s="46">
        <v>158623000</v>
      </c>
      <c r="P57" s="55">
        <f t="shared" si="10"/>
        <v>8.0816495464087812E-2</v>
      </c>
    </row>
    <row r="58" spans="1:16" ht="15" hidden="1" customHeight="1" x14ac:dyDescent="0.3">
      <c r="A58" s="48" t="s">
        <v>129</v>
      </c>
      <c r="B58" s="49" t="s">
        <v>138</v>
      </c>
      <c r="C58" s="50" t="s">
        <v>139</v>
      </c>
      <c r="D58" s="36">
        <v>2016</v>
      </c>
      <c r="E58" s="37">
        <v>215779.1</v>
      </c>
      <c r="F58" s="37">
        <f t="shared" si="8"/>
        <v>81478.188160000005</v>
      </c>
      <c r="G58" s="38">
        <f t="shared" si="6"/>
        <v>134300.91184000002</v>
      </c>
      <c r="H58" s="37">
        <v>52321.1</v>
      </c>
      <c r="I58" s="37">
        <f t="shared" si="9"/>
        <v>81979.811840000009</v>
      </c>
      <c r="J58" s="37">
        <v>42689.5</v>
      </c>
      <c r="K58" s="37">
        <v>637382.1</v>
      </c>
      <c r="L58" s="38">
        <v>1193349.8999999999</v>
      </c>
      <c r="M58" s="37">
        <v>1371455.7</v>
      </c>
      <c r="N58" s="37">
        <v>451853.4</v>
      </c>
      <c r="O58" s="40">
        <v>168765000</v>
      </c>
      <c r="P58" s="51">
        <f t="shared" si="10"/>
        <v>7.9578651876870202E-2</v>
      </c>
    </row>
    <row r="59" spans="1:16" ht="15" hidden="1" customHeight="1" x14ac:dyDescent="0.3">
      <c r="A59" s="52" t="s">
        <v>129</v>
      </c>
      <c r="B59" s="53" t="s">
        <v>138</v>
      </c>
      <c r="C59" s="54" t="s">
        <v>139</v>
      </c>
      <c r="D59" s="42">
        <v>2017</v>
      </c>
      <c r="E59" s="43">
        <v>195996</v>
      </c>
      <c r="F59" s="43">
        <f t="shared" si="8"/>
        <v>74008.089599999992</v>
      </c>
      <c r="G59" s="44">
        <f t="shared" si="6"/>
        <v>121987.91040000001</v>
      </c>
      <c r="H59" s="43">
        <v>55197</v>
      </c>
      <c r="I59" s="43">
        <f t="shared" si="9"/>
        <v>66790.910400000008</v>
      </c>
      <c r="J59" s="43">
        <v>60915</v>
      </c>
      <c r="K59" s="43">
        <v>628690</v>
      </c>
      <c r="L59" s="44">
        <v>1306487</v>
      </c>
      <c r="M59" s="43">
        <v>1491468</v>
      </c>
      <c r="N59" s="43">
        <v>424947</v>
      </c>
      <c r="O59" s="46">
        <v>179315000</v>
      </c>
      <c r="P59" s="55">
        <f t="shared" si="10"/>
        <v>6.8029953099294549E-2</v>
      </c>
    </row>
    <row r="60" spans="1:16" ht="15" hidden="1" customHeight="1" x14ac:dyDescent="0.3">
      <c r="A60" s="48" t="s">
        <v>129</v>
      </c>
      <c r="B60" s="49" t="s">
        <v>138</v>
      </c>
      <c r="C60" s="50" t="s">
        <v>139</v>
      </c>
      <c r="D60" s="36">
        <v>2018</v>
      </c>
      <c r="E60" s="37">
        <v>207410</v>
      </c>
      <c r="F60" s="37">
        <f t="shared" si="8"/>
        <v>78318.016000000003</v>
      </c>
      <c r="G60" s="38">
        <f t="shared" si="6"/>
        <v>129091.984</v>
      </c>
      <c r="H60" s="37">
        <v>58453</v>
      </c>
      <c r="I60" s="37">
        <f t="shared" si="9"/>
        <v>70638.983999999997</v>
      </c>
      <c r="J60" s="37">
        <v>70002</v>
      </c>
      <c r="K60" s="37">
        <v>687709</v>
      </c>
      <c r="L60" s="38">
        <v>1414037</v>
      </c>
      <c r="M60" s="37">
        <v>1641723</v>
      </c>
      <c r="N60" s="37">
        <v>449473</v>
      </c>
      <c r="O60" s="40">
        <v>189435000</v>
      </c>
      <c r="P60" s="51">
        <f t="shared" si="10"/>
        <v>6.8145793543959665E-2</v>
      </c>
    </row>
    <row r="61" spans="1:16" ht="15" hidden="1" customHeight="1" x14ac:dyDescent="0.3">
      <c r="A61" s="52" t="s">
        <v>129</v>
      </c>
      <c r="B61" s="53" t="s">
        <v>138</v>
      </c>
      <c r="C61" s="54" t="s">
        <v>139</v>
      </c>
      <c r="D61" s="42">
        <v>2019</v>
      </c>
      <c r="E61" s="43">
        <v>220878</v>
      </c>
      <c r="F61" s="43">
        <f t="shared" si="8"/>
        <v>83403.532800000001</v>
      </c>
      <c r="G61" s="44">
        <f t="shared" si="6"/>
        <v>137474.46720000001</v>
      </c>
      <c r="H61" s="43">
        <v>62118</v>
      </c>
      <c r="I61" s="43">
        <f t="shared" si="9"/>
        <v>75356.467200000014</v>
      </c>
      <c r="J61" s="43">
        <v>71278</v>
      </c>
      <c r="K61" s="43">
        <v>794678</v>
      </c>
      <c r="L61" s="44">
        <v>1533842</v>
      </c>
      <c r="M61" s="43">
        <v>1834084</v>
      </c>
      <c r="N61" s="43">
        <v>481822</v>
      </c>
      <c r="O61" s="46">
        <v>195548000</v>
      </c>
      <c r="P61" s="55">
        <f t="shared" si="10"/>
        <v>7.0302159674351064E-2</v>
      </c>
    </row>
    <row r="62" spans="1:16" ht="15" hidden="1" customHeight="1" x14ac:dyDescent="0.3">
      <c r="A62" s="48" t="s">
        <v>129</v>
      </c>
      <c r="B62" s="49" t="s">
        <v>138</v>
      </c>
      <c r="C62" s="50" t="s">
        <v>139</v>
      </c>
      <c r="D62" s="36">
        <v>2020</v>
      </c>
      <c r="E62" s="37">
        <v>214852</v>
      </c>
      <c r="F62" s="37">
        <f t="shared" si="8"/>
        <v>81128.1152</v>
      </c>
      <c r="G62" s="38">
        <f t="shared" si="6"/>
        <v>133723.8848</v>
      </c>
      <c r="H62" s="37">
        <v>63610</v>
      </c>
      <c r="I62" s="37">
        <f t="shared" si="9"/>
        <v>70113.8848</v>
      </c>
      <c r="J62" s="37">
        <v>62212</v>
      </c>
      <c r="K62" s="37">
        <v>1072631</v>
      </c>
      <c r="L62" s="38">
        <v>1579510</v>
      </c>
      <c r="M62" s="37">
        <v>2161912</v>
      </c>
      <c r="N62" s="37">
        <v>522707</v>
      </c>
      <c r="O62" s="40">
        <v>201307000</v>
      </c>
      <c r="P62" s="51">
        <f t="shared" si="10"/>
        <v>6.6427836488547345E-2</v>
      </c>
    </row>
    <row r="63" spans="1:16" ht="15" hidden="1" customHeight="1" x14ac:dyDescent="0.3">
      <c r="A63" s="52" t="s">
        <v>129</v>
      </c>
      <c r="B63" s="53" t="s">
        <v>138</v>
      </c>
      <c r="C63" s="54" t="s">
        <v>139</v>
      </c>
      <c r="D63" s="42">
        <v>2021</v>
      </c>
      <c r="E63" s="43">
        <v>227719</v>
      </c>
      <c r="F63" s="43">
        <f t="shared" si="8"/>
        <v>85986.694399999993</v>
      </c>
      <c r="G63" s="44">
        <f t="shared" si="6"/>
        <v>141732.30560000002</v>
      </c>
      <c r="H63" s="43">
        <v>67461</v>
      </c>
      <c r="I63" s="43">
        <f t="shared" si="9"/>
        <v>74271.305600000022</v>
      </c>
      <c r="J63" s="43">
        <v>90555</v>
      </c>
      <c r="K63" s="43">
        <v>1400262</v>
      </c>
      <c r="L63" s="44">
        <v>1636465</v>
      </c>
      <c r="M63" s="43">
        <v>2439508</v>
      </c>
      <c r="N63" s="43">
        <v>556837</v>
      </c>
      <c r="O63" s="46">
        <v>239556000</v>
      </c>
      <c r="P63" s="55">
        <f t="shared" si="10"/>
        <v>5.9164581809681253E-2</v>
      </c>
    </row>
    <row r="64" spans="1:16" ht="15" hidden="1" customHeight="1" x14ac:dyDescent="0.3">
      <c r="A64" s="48" t="s">
        <v>129</v>
      </c>
      <c r="B64" s="49" t="s">
        <v>138</v>
      </c>
      <c r="C64" s="50" t="s">
        <v>139</v>
      </c>
      <c r="D64" s="36">
        <v>2022</v>
      </c>
      <c r="E64" s="37">
        <v>286085</v>
      </c>
      <c r="F64" s="37">
        <f t="shared" si="8"/>
        <v>108025.696</v>
      </c>
      <c r="G64" s="38">
        <f t="shared" si="6"/>
        <v>178059.304</v>
      </c>
      <c r="H64" s="37">
        <v>69565</v>
      </c>
      <c r="I64" s="37">
        <f t="shared" si="9"/>
        <v>108494.304</v>
      </c>
      <c r="J64" s="37">
        <v>119240</v>
      </c>
      <c r="K64" s="37">
        <v>1588152</v>
      </c>
      <c r="L64" s="38">
        <v>1986043</v>
      </c>
      <c r="M64" s="37">
        <v>2746337</v>
      </c>
      <c r="N64" s="37">
        <v>640530</v>
      </c>
      <c r="O64" s="40">
        <v>262954000</v>
      </c>
      <c r="P64" s="51">
        <f t="shared" si="10"/>
        <v>6.7715001102854486E-2</v>
      </c>
    </row>
    <row r="65" spans="1:16" ht="15" hidden="1" customHeight="1" x14ac:dyDescent="0.3">
      <c r="A65" s="52" t="s">
        <v>129</v>
      </c>
      <c r="B65" s="53" t="s">
        <v>138</v>
      </c>
      <c r="C65" s="54" t="s">
        <v>139</v>
      </c>
      <c r="D65" s="42">
        <v>2023</v>
      </c>
      <c r="E65" s="43">
        <v>275445</v>
      </c>
      <c r="F65" s="43">
        <f t="shared" si="8"/>
        <v>104008.03199999999</v>
      </c>
      <c r="G65" s="44">
        <f t="shared" si="6"/>
        <v>171436.96799999999</v>
      </c>
      <c r="H65" s="43">
        <v>67113</v>
      </c>
      <c r="I65" s="43">
        <f t="shared" si="9"/>
        <v>104323.96799999999</v>
      </c>
      <c r="J65" s="43">
        <v>84697</v>
      </c>
      <c r="K65" s="43">
        <v>1939038</v>
      </c>
      <c r="L65" s="44">
        <v>2347666</v>
      </c>
      <c r="M65" s="43">
        <v>3132431</v>
      </c>
      <c r="N65" s="43">
        <v>662688</v>
      </c>
      <c r="O65" s="46">
        <v>282097000</v>
      </c>
      <c r="P65" s="55">
        <f t="shared" si="10"/>
        <v>6.0772347100465446E-2</v>
      </c>
    </row>
    <row r="66" spans="1:16" ht="15" hidden="1" customHeight="1" x14ac:dyDescent="0.3">
      <c r="A66" s="48" t="s">
        <v>129</v>
      </c>
      <c r="B66" s="49" t="s">
        <v>138</v>
      </c>
      <c r="C66" s="50" t="s">
        <v>139</v>
      </c>
      <c r="D66" s="36">
        <v>2024</v>
      </c>
      <c r="E66" s="37">
        <v>328952</v>
      </c>
      <c r="F66" s="37">
        <f t="shared" si="8"/>
        <v>124212.2752</v>
      </c>
      <c r="G66" s="38">
        <f t="shared" si="6"/>
        <v>204739.7248</v>
      </c>
      <c r="H66" s="37">
        <v>79042</v>
      </c>
      <c r="I66" s="37">
        <f t="shared" si="9"/>
        <v>125697.7248</v>
      </c>
      <c r="J66" s="37">
        <v>92029</v>
      </c>
      <c r="K66" s="37">
        <v>2216207</v>
      </c>
      <c r="L66" s="38">
        <v>2631519</v>
      </c>
      <c r="M66" s="37">
        <v>3564043</v>
      </c>
      <c r="N66" s="37">
        <v>734697</v>
      </c>
      <c r="O66" s="40">
        <v>310681000</v>
      </c>
      <c r="P66" s="51">
        <f t="shared" si="10"/>
        <v>6.5900304428014589E-2</v>
      </c>
    </row>
    <row r="67" spans="1:16" ht="15" customHeight="1" x14ac:dyDescent="0.3">
      <c r="A67" s="52" t="s">
        <v>129</v>
      </c>
      <c r="B67" s="53" t="s">
        <v>138</v>
      </c>
      <c r="C67" s="54" t="s">
        <v>139</v>
      </c>
      <c r="D67" s="42">
        <v>2025</v>
      </c>
      <c r="E67" s="43">
        <v>359492</v>
      </c>
      <c r="F67" s="43">
        <f t="shared" si="8"/>
        <v>135744.17919999998</v>
      </c>
      <c r="G67" s="44">
        <f t="shared" si="6"/>
        <v>223747.82080000002</v>
      </c>
      <c r="H67" s="43">
        <v>89298</v>
      </c>
      <c r="I67" s="43">
        <f t="shared" si="9"/>
        <v>134449.82080000002</v>
      </c>
      <c r="J67" s="43">
        <v>94047</v>
      </c>
      <c r="K67" s="43">
        <v>2402025</v>
      </c>
      <c r="L67" s="44">
        <v>2922175</v>
      </c>
      <c r="M67" s="43">
        <v>3939576</v>
      </c>
      <c r="N67" s="43">
        <v>776916</v>
      </c>
      <c r="O67" s="46">
        <v>339978000</v>
      </c>
      <c r="P67" s="55">
        <f t="shared" si="10"/>
        <v>6.5812441040302608E-2</v>
      </c>
    </row>
    <row r="68" spans="1:16" ht="15" hidden="1" customHeight="1" x14ac:dyDescent="0.3">
      <c r="A68" s="48" t="s">
        <v>129</v>
      </c>
      <c r="B68" s="49" t="s">
        <v>140</v>
      </c>
      <c r="C68" s="50" t="s">
        <v>141</v>
      </c>
      <c r="D68" s="36">
        <v>2013</v>
      </c>
      <c r="E68" s="37">
        <v>4494.2</v>
      </c>
      <c r="F68" s="37">
        <f t="shared" si="8"/>
        <v>1697.00992</v>
      </c>
      <c r="G68" s="38">
        <f t="shared" si="6"/>
        <v>2797.1900799999999</v>
      </c>
      <c r="H68" s="37">
        <v>2529.8000000000002</v>
      </c>
      <c r="I68" s="37">
        <f t="shared" si="9"/>
        <v>267.39007999999967</v>
      </c>
      <c r="J68" s="37">
        <v>-604.4</v>
      </c>
      <c r="K68" s="37">
        <v>12692.7</v>
      </c>
      <c r="L68" s="38">
        <v>14540.5</v>
      </c>
      <c r="M68" s="37">
        <v>18776.5</v>
      </c>
      <c r="N68" s="37">
        <v>5657.7</v>
      </c>
      <c r="O68" s="40">
        <v>136003000</v>
      </c>
      <c r="P68" s="51">
        <f t="shared" si="10"/>
        <v>2.056712043116696E-3</v>
      </c>
    </row>
    <row r="69" spans="1:16" ht="15" hidden="1" customHeight="1" x14ac:dyDescent="0.3">
      <c r="A69" s="52" t="s">
        <v>129</v>
      </c>
      <c r="B69" s="53" t="s">
        <v>140</v>
      </c>
      <c r="C69" s="54" t="s">
        <v>141</v>
      </c>
      <c r="D69" s="42">
        <v>2014</v>
      </c>
      <c r="E69" s="43">
        <v>3525.6</v>
      </c>
      <c r="F69" s="43">
        <f t="shared" si="8"/>
        <v>1331.26656</v>
      </c>
      <c r="G69" s="44">
        <f t="shared" si="6"/>
        <v>2194.3334399999999</v>
      </c>
      <c r="H69" s="43">
        <v>2505.3000000000002</v>
      </c>
      <c r="I69" s="43">
        <f t="shared" si="9"/>
        <v>-310.9665600000003</v>
      </c>
      <c r="J69" s="43">
        <v>-491</v>
      </c>
      <c r="K69" s="43">
        <v>14979.6</v>
      </c>
      <c r="L69" s="44">
        <v>15261</v>
      </c>
      <c r="M69" s="43">
        <v>20238.5</v>
      </c>
      <c r="N69" s="43">
        <v>5059</v>
      </c>
      <c r="O69" s="46">
        <v>144706000</v>
      </c>
      <c r="P69" s="55">
        <f t="shared" si="10"/>
        <v>1.5164080549528009E-3</v>
      </c>
    </row>
    <row r="70" spans="1:16" ht="15" hidden="1" customHeight="1" x14ac:dyDescent="0.3">
      <c r="A70" s="48" t="s">
        <v>129</v>
      </c>
      <c r="B70" s="49" t="s">
        <v>140</v>
      </c>
      <c r="C70" s="50" t="s">
        <v>141</v>
      </c>
      <c r="D70" s="36">
        <v>2015</v>
      </c>
      <c r="E70" s="37">
        <v>3715.5</v>
      </c>
      <c r="F70" s="37">
        <f t="shared" si="8"/>
        <v>1402.9728</v>
      </c>
      <c r="G70" s="38">
        <f t="shared" si="6"/>
        <v>2312.5272</v>
      </c>
      <c r="H70" s="37">
        <v>2076.4</v>
      </c>
      <c r="I70" s="37">
        <f t="shared" si="9"/>
        <v>236.1271999999999</v>
      </c>
      <c r="J70" s="37">
        <v>-705.3</v>
      </c>
      <c r="K70" s="37">
        <v>15923.9</v>
      </c>
      <c r="L70" s="38">
        <v>14999.9</v>
      </c>
      <c r="M70" s="37">
        <v>20690.7</v>
      </c>
      <c r="N70" s="37">
        <v>4608.7</v>
      </c>
      <c r="O70" s="40">
        <v>158623000</v>
      </c>
      <c r="P70" s="51">
        <f t="shared" si="10"/>
        <v>1.4578763483227527E-3</v>
      </c>
    </row>
    <row r="71" spans="1:16" ht="15" hidden="1" customHeight="1" x14ac:dyDescent="0.3">
      <c r="A71" s="52" t="s">
        <v>129</v>
      </c>
      <c r="B71" s="53" t="s">
        <v>140</v>
      </c>
      <c r="C71" s="54" t="s">
        <v>141</v>
      </c>
      <c r="D71" s="42">
        <v>2016</v>
      </c>
      <c r="E71" s="43">
        <v>4765.3</v>
      </c>
      <c r="F71" s="43">
        <f t="shared" si="8"/>
        <v>1799.3772799999999</v>
      </c>
      <c r="G71" s="44">
        <f t="shared" si="6"/>
        <v>2965.9227200000005</v>
      </c>
      <c r="H71" s="43">
        <v>2234.6999999999998</v>
      </c>
      <c r="I71" s="43">
        <f t="shared" si="9"/>
        <v>731.22272000000066</v>
      </c>
      <c r="J71" s="43">
        <v>71.3</v>
      </c>
      <c r="K71" s="43">
        <v>17274.3</v>
      </c>
      <c r="L71" s="44">
        <v>18062.2</v>
      </c>
      <c r="M71" s="43">
        <v>23938.7</v>
      </c>
      <c r="N71" s="43">
        <v>4878</v>
      </c>
      <c r="O71" s="46">
        <v>168765000</v>
      </c>
      <c r="P71" s="55">
        <f t="shared" si="10"/>
        <v>1.7574276182857822E-3</v>
      </c>
    </row>
    <row r="72" spans="1:16" ht="15" hidden="1" customHeight="1" x14ac:dyDescent="0.3">
      <c r="A72" s="48" t="s">
        <v>129</v>
      </c>
      <c r="B72" s="49" t="s">
        <v>140</v>
      </c>
      <c r="C72" s="50" t="s">
        <v>141</v>
      </c>
      <c r="D72" s="36">
        <v>2017</v>
      </c>
      <c r="E72" s="37">
        <v>4367</v>
      </c>
      <c r="F72" s="37">
        <f t="shared" si="8"/>
        <v>1648.9792</v>
      </c>
      <c r="G72" s="38">
        <f t="shared" si="6"/>
        <v>2718.0208000000002</v>
      </c>
      <c r="H72" s="37">
        <v>2259</v>
      </c>
      <c r="I72" s="37">
        <f t="shared" si="9"/>
        <v>459.02080000000024</v>
      </c>
      <c r="J72" s="37">
        <v>-232</v>
      </c>
      <c r="K72" s="37">
        <v>18421</v>
      </c>
      <c r="L72" s="38">
        <v>21391</v>
      </c>
      <c r="M72" s="37">
        <v>27223</v>
      </c>
      <c r="N72" s="37">
        <v>5870</v>
      </c>
      <c r="O72" s="40">
        <v>179315000</v>
      </c>
      <c r="P72" s="51">
        <f t="shared" si="10"/>
        <v>1.5157799403284723E-3</v>
      </c>
    </row>
    <row r="73" spans="1:16" ht="15" hidden="1" customHeight="1" x14ac:dyDescent="0.3">
      <c r="A73" s="52" t="s">
        <v>129</v>
      </c>
      <c r="B73" s="53" t="s">
        <v>140</v>
      </c>
      <c r="C73" s="54" t="s">
        <v>141</v>
      </c>
      <c r="D73" s="42">
        <v>2018</v>
      </c>
      <c r="E73" s="43">
        <v>4608</v>
      </c>
      <c r="F73" s="43">
        <f t="shared" ref="F73:F92" si="11">0.3776*E73</f>
        <v>1739.9808</v>
      </c>
      <c r="G73" s="44">
        <f t="shared" ref="G73:G92" si="12">+E73-F73</f>
        <v>2868.0191999999997</v>
      </c>
      <c r="H73" s="43">
        <v>2329</v>
      </c>
      <c r="I73" s="43">
        <f t="shared" ref="I73:I92" si="13">+G73-H73</f>
        <v>539.01919999999973</v>
      </c>
      <c r="J73" s="43">
        <v>83</v>
      </c>
      <c r="K73" s="43">
        <v>21871</v>
      </c>
      <c r="L73" s="44">
        <v>24401</v>
      </c>
      <c r="M73" s="43">
        <v>31291</v>
      </c>
      <c r="N73" s="43">
        <v>5988</v>
      </c>
      <c r="O73" s="46">
        <v>189435000</v>
      </c>
      <c r="P73" s="55">
        <f t="shared" si="10"/>
        <v>1.513985905455697E-3</v>
      </c>
    </row>
    <row r="74" spans="1:16" ht="15" hidden="1" customHeight="1" x14ac:dyDescent="0.3">
      <c r="A74" s="48" t="s">
        <v>129</v>
      </c>
      <c r="B74" s="49" t="s">
        <v>140</v>
      </c>
      <c r="C74" s="50" t="s">
        <v>141</v>
      </c>
      <c r="D74" s="36">
        <v>2019</v>
      </c>
      <c r="E74" s="37">
        <v>5084</v>
      </c>
      <c r="F74" s="37">
        <f t="shared" si="11"/>
        <v>1919.7184</v>
      </c>
      <c r="G74" s="38">
        <f t="shared" si="12"/>
        <v>3164.2816000000003</v>
      </c>
      <c r="H74" s="37">
        <v>2682</v>
      </c>
      <c r="I74" s="37">
        <f t="shared" si="13"/>
        <v>482.28160000000025</v>
      </c>
      <c r="J74" s="37">
        <v>-135</v>
      </c>
      <c r="K74" s="37">
        <v>25461</v>
      </c>
      <c r="L74" s="38">
        <v>29494</v>
      </c>
      <c r="M74" s="37">
        <v>36779</v>
      </c>
      <c r="N74" s="37">
        <v>5871</v>
      </c>
      <c r="O74" s="40">
        <v>195548000</v>
      </c>
      <c r="P74" s="51">
        <f t="shared" ref="P74:P92" si="14">+(G74/O74)*100</f>
        <v>1.6181610653138874E-3</v>
      </c>
    </row>
    <row r="75" spans="1:16" ht="15" hidden="1" customHeight="1" x14ac:dyDescent="0.3">
      <c r="A75" s="52" t="s">
        <v>129</v>
      </c>
      <c r="B75" s="53" t="s">
        <v>140</v>
      </c>
      <c r="C75" s="54" t="s">
        <v>141</v>
      </c>
      <c r="D75" s="42">
        <v>2020</v>
      </c>
      <c r="E75" s="43">
        <v>4751</v>
      </c>
      <c r="F75" s="43">
        <f t="shared" si="11"/>
        <v>1793.9775999999999</v>
      </c>
      <c r="G75" s="44">
        <f t="shared" si="12"/>
        <v>2957.0223999999998</v>
      </c>
      <c r="H75" s="43">
        <v>2856</v>
      </c>
      <c r="I75" s="43">
        <f t="shared" si="13"/>
        <v>101.02239999999983</v>
      </c>
      <c r="J75" s="43">
        <v>-135</v>
      </c>
      <c r="K75" s="43">
        <v>30152</v>
      </c>
      <c r="L75" s="44">
        <v>29592</v>
      </c>
      <c r="M75" s="43">
        <v>40304</v>
      </c>
      <c r="N75" s="43">
        <v>5150</v>
      </c>
      <c r="O75" s="46">
        <v>201307000</v>
      </c>
      <c r="P75" s="55">
        <f t="shared" si="14"/>
        <v>1.4689118609884403E-3</v>
      </c>
    </row>
    <row r="76" spans="1:16" ht="15" hidden="1" customHeight="1" x14ac:dyDescent="0.3">
      <c r="A76" s="48" t="s">
        <v>129</v>
      </c>
      <c r="B76" s="49" t="s">
        <v>140</v>
      </c>
      <c r="C76" s="50" t="s">
        <v>141</v>
      </c>
      <c r="D76" s="36">
        <v>2021</v>
      </c>
      <c r="E76" s="37">
        <v>5231</v>
      </c>
      <c r="F76" s="37">
        <f t="shared" si="11"/>
        <v>1975.2256</v>
      </c>
      <c r="G76" s="38">
        <f t="shared" si="12"/>
        <v>3255.7744000000002</v>
      </c>
      <c r="H76" s="37">
        <v>2951</v>
      </c>
      <c r="I76" s="37">
        <f t="shared" si="13"/>
        <v>304.77440000000024</v>
      </c>
      <c r="J76" s="37">
        <v>505</v>
      </c>
      <c r="K76" s="37">
        <v>35217</v>
      </c>
      <c r="L76" s="38">
        <v>32508</v>
      </c>
      <c r="M76" s="37">
        <v>45789</v>
      </c>
      <c r="N76" s="37">
        <v>5547</v>
      </c>
      <c r="O76" s="40">
        <v>239556000</v>
      </c>
      <c r="P76" s="51">
        <f t="shared" si="14"/>
        <v>1.3590869775751808E-3</v>
      </c>
    </row>
    <row r="77" spans="1:16" ht="15" hidden="1" customHeight="1" x14ac:dyDescent="0.3">
      <c r="A77" s="52" t="s">
        <v>129</v>
      </c>
      <c r="B77" s="53" t="s">
        <v>140</v>
      </c>
      <c r="C77" s="54" t="s">
        <v>141</v>
      </c>
      <c r="D77" s="42">
        <v>2022</v>
      </c>
      <c r="E77" s="43">
        <v>7565</v>
      </c>
      <c r="F77" s="43">
        <f t="shared" si="11"/>
        <v>2856.5439999999999</v>
      </c>
      <c r="G77" s="44">
        <f t="shared" si="12"/>
        <v>4708.4560000000001</v>
      </c>
      <c r="H77" s="43">
        <v>3594</v>
      </c>
      <c r="I77" s="43">
        <f t="shared" si="13"/>
        <v>1114.4560000000001</v>
      </c>
      <c r="J77" s="43">
        <v>1255</v>
      </c>
      <c r="K77" s="43">
        <v>36084</v>
      </c>
      <c r="L77" s="44">
        <v>41117</v>
      </c>
      <c r="M77" s="43">
        <v>53208</v>
      </c>
      <c r="N77" s="43">
        <v>6541</v>
      </c>
      <c r="O77" s="46">
        <v>262954000</v>
      </c>
      <c r="P77" s="55">
        <f t="shared" si="14"/>
        <v>1.7906006373738374E-3</v>
      </c>
    </row>
    <row r="78" spans="1:16" ht="15" hidden="1" customHeight="1" x14ac:dyDescent="0.3">
      <c r="A78" s="48" t="s">
        <v>129</v>
      </c>
      <c r="B78" s="49" t="s">
        <v>140</v>
      </c>
      <c r="C78" s="50" t="s">
        <v>141</v>
      </c>
      <c r="D78" s="36">
        <v>2023</v>
      </c>
      <c r="E78" s="37">
        <v>9834</v>
      </c>
      <c r="F78" s="37">
        <f t="shared" si="11"/>
        <v>3713.3184000000001</v>
      </c>
      <c r="G78" s="38">
        <f t="shared" si="12"/>
        <v>6120.6815999999999</v>
      </c>
      <c r="H78" s="37">
        <v>4565</v>
      </c>
      <c r="I78" s="37">
        <f t="shared" si="13"/>
        <v>1555.6815999999999</v>
      </c>
      <c r="J78" s="37">
        <v>1858</v>
      </c>
      <c r="K78" s="37">
        <v>45666</v>
      </c>
      <c r="L78" s="38">
        <v>51904</v>
      </c>
      <c r="M78" s="37">
        <v>67098</v>
      </c>
      <c r="N78" s="37">
        <v>7651</v>
      </c>
      <c r="O78" s="40">
        <v>282097000</v>
      </c>
      <c r="P78" s="51">
        <f t="shared" si="14"/>
        <v>2.1697081500334989E-3</v>
      </c>
    </row>
    <row r="79" spans="1:16" ht="15" hidden="1" customHeight="1" x14ac:dyDescent="0.3">
      <c r="A79" s="52" t="s">
        <v>129</v>
      </c>
      <c r="B79" s="53" t="s">
        <v>140</v>
      </c>
      <c r="C79" s="54" t="s">
        <v>141</v>
      </c>
      <c r="D79" s="42">
        <v>2024</v>
      </c>
      <c r="E79" s="43">
        <v>13205</v>
      </c>
      <c r="F79" s="43">
        <f t="shared" si="11"/>
        <v>4986.2079999999996</v>
      </c>
      <c r="G79" s="44">
        <f t="shared" si="12"/>
        <v>8218.7920000000013</v>
      </c>
      <c r="H79" s="43">
        <v>6044</v>
      </c>
      <c r="I79" s="43">
        <f t="shared" si="13"/>
        <v>2174.7920000000013</v>
      </c>
      <c r="J79" s="43">
        <v>2007</v>
      </c>
      <c r="K79" s="43">
        <v>57659</v>
      </c>
      <c r="L79" s="44">
        <v>65702</v>
      </c>
      <c r="M79" s="43">
        <v>86017</v>
      </c>
      <c r="N79" s="43">
        <v>9820</v>
      </c>
      <c r="O79" s="46">
        <v>310681000</v>
      </c>
      <c r="P79" s="55">
        <f t="shared" si="14"/>
        <v>2.6454118533157807E-3</v>
      </c>
    </row>
    <row r="80" spans="1:16" ht="15" customHeight="1" x14ac:dyDescent="0.3">
      <c r="A80" s="48" t="s">
        <v>129</v>
      </c>
      <c r="B80" s="49" t="s">
        <v>140</v>
      </c>
      <c r="C80" s="50" t="s">
        <v>141</v>
      </c>
      <c r="D80" s="36">
        <v>2025</v>
      </c>
      <c r="E80" s="37">
        <v>16292</v>
      </c>
      <c r="F80" s="37">
        <f t="shared" si="11"/>
        <v>6151.8591999999999</v>
      </c>
      <c r="G80" s="38">
        <f t="shared" si="12"/>
        <v>10140.140800000001</v>
      </c>
      <c r="H80" s="37">
        <v>7705</v>
      </c>
      <c r="I80" s="37">
        <f t="shared" si="13"/>
        <v>2435.140800000001</v>
      </c>
      <c r="J80" s="37">
        <v>1806</v>
      </c>
      <c r="K80" s="37">
        <v>73135</v>
      </c>
      <c r="L80" s="38">
        <v>80458</v>
      </c>
      <c r="M80" s="37">
        <v>103358</v>
      </c>
      <c r="N80" s="37">
        <v>11885</v>
      </c>
      <c r="O80" s="40">
        <v>339978000</v>
      </c>
      <c r="P80" s="51">
        <f t="shared" si="14"/>
        <v>2.9825873438869576E-3</v>
      </c>
    </row>
    <row r="81" spans="1:16" ht="15" hidden="1" customHeight="1" x14ac:dyDescent="0.3">
      <c r="A81" s="52" t="s">
        <v>129</v>
      </c>
      <c r="B81" s="53" t="s">
        <v>142</v>
      </c>
      <c r="C81" s="54" t="s">
        <v>143</v>
      </c>
      <c r="D81" s="42">
        <v>2013</v>
      </c>
      <c r="E81" s="43">
        <v>24278.2</v>
      </c>
      <c r="F81" s="43">
        <f t="shared" si="11"/>
        <v>9167.4483199999995</v>
      </c>
      <c r="G81" s="44">
        <f t="shared" si="12"/>
        <v>15110.751680000001</v>
      </c>
      <c r="H81" s="43">
        <v>8259</v>
      </c>
      <c r="I81" s="43">
        <f t="shared" si="13"/>
        <v>6851.7516800000012</v>
      </c>
      <c r="J81" s="43">
        <v>-5642.5</v>
      </c>
      <c r="K81" s="43">
        <v>85860.6</v>
      </c>
      <c r="L81" s="44">
        <v>89028.3</v>
      </c>
      <c r="M81" s="43">
        <v>111346.5</v>
      </c>
      <c r="N81" s="43">
        <v>16605.900000000001</v>
      </c>
      <c r="O81" s="46">
        <v>136003000</v>
      </c>
      <c r="P81" s="55">
        <f t="shared" si="14"/>
        <v>1.1110601736726396E-2</v>
      </c>
    </row>
    <row r="82" spans="1:16" ht="15" hidden="1" customHeight="1" x14ac:dyDescent="0.3">
      <c r="A82" s="48" t="s">
        <v>129</v>
      </c>
      <c r="B82" s="49" t="s">
        <v>142</v>
      </c>
      <c r="C82" s="50" t="s">
        <v>143</v>
      </c>
      <c r="D82" s="36">
        <v>2014</v>
      </c>
      <c r="E82" s="37">
        <v>20604.900000000001</v>
      </c>
      <c r="F82" s="37">
        <f t="shared" si="11"/>
        <v>7780.4102400000002</v>
      </c>
      <c r="G82" s="38">
        <f t="shared" si="12"/>
        <v>12824.48976</v>
      </c>
      <c r="H82" s="37">
        <v>5556.1</v>
      </c>
      <c r="I82" s="37">
        <f t="shared" si="13"/>
        <v>7268.38976</v>
      </c>
      <c r="J82" s="37">
        <v>-1587.6</v>
      </c>
      <c r="K82" s="37">
        <v>85383.3</v>
      </c>
      <c r="L82" s="38">
        <v>79980.600000000006</v>
      </c>
      <c r="M82" s="37">
        <v>104564.2</v>
      </c>
      <c r="N82" s="37">
        <v>14428</v>
      </c>
      <c r="O82" s="40">
        <v>144706000</v>
      </c>
      <c r="P82" s="51">
        <f t="shared" si="14"/>
        <v>8.8624450679308398E-3</v>
      </c>
    </row>
    <row r="83" spans="1:16" ht="15" hidden="1" customHeight="1" x14ac:dyDescent="0.3">
      <c r="A83" s="52" t="s">
        <v>129</v>
      </c>
      <c r="B83" s="53" t="s">
        <v>142</v>
      </c>
      <c r="C83" s="54" t="s">
        <v>143</v>
      </c>
      <c r="D83" s="42">
        <v>2015</v>
      </c>
      <c r="E83" s="43">
        <v>19694.2</v>
      </c>
      <c r="F83" s="43">
        <f t="shared" si="11"/>
        <v>7436.5299199999999</v>
      </c>
      <c r="G83" s="44">
        <f t="shared" si="12"/>
        <v>12257.67008</v>
      </c>
      <c r="H83" s="43">
        <v>5509.2</v>
      </c>
      <c r="I83" s="43">
        <f t="shared" si="13"/>
        <v>6748.4700800000001</v>
      </c>
      <c r="J83" s="43">
        <v>1407.9</v>
      </c>
      <c r="K83" s="43">
        <v>85739.1</v>
      </c>
      <c r="L83" s="44">
        <v>80652.2</v>
      </c>
      <c r="M83" s="43">
        <v>105201.1</v>
      </c>
      <c r="N83" s="43">
        <v>16614.599999999999</v>
      </c>
      <c r="O83" s="46">
        <v>158623000</v>
      </c>
      <c r="P83" s="55">
        <f t="shared" si="14"/>
        <v>7.7275490187425529E-3</v>
      </c>
    </row>
    <row r="84" spans="1:16" ht="15" hidden="1" customHeight="1" x14ac:dyDescent="0.3">
      <c r="A84" s="48" t="s">
        <v>129</v>
      </c>
      <c r="B84" s="49" t="s">
        <v>142</v>
      </c>
      <c r="C84" s="50" t="s">
        <v>143</v>
      </c>
      <c r="D84" s="36">
        <v>2016</v>
      </c>
      <c r="E84" s="37">
        <v>20337.8</v>
      </c>
      <c r="F84" s="37">
        <f t="shared" si="11"/>
        <v>7679.5532799999992</v>
      </c>
      <c r="G84" s="38">
        <f t="shared" si="12"/>
        <v>12658.246719999999</v>
      </c>
      <c r="H84" s="37">
        <v>6127.5</v>
      </c>
      <c r="I84" s="37">
        <f t="shared" si="13"/>
        <v>6530.7467199999992</v>
      </c>
      <c r="J84" s="37">
        <v>1262</v>
      </c>
      <c r="K84" s="37">
        <v>84230.5</v>
      </c>
      <c r="L84" s="38">
        <v>78454.8</v>
      </c>
      <c r="M84" s="37">
        <v>103107.8</v>
      </c>
      <c r="N84" s="37">
        <v>18499.900000000001</v>
      </c>
      <c r="O84" s="40">
        <v>168765000</v>
      </c>
      <c r="P84" s="51">
        <f t="shared" si="14"/>
        <v>7.5005165289011334E-3</v>
      </c>
    </row>
    <row r="85" spans="1:16" ht="15" hidden="1" customHeight="1" x14ac:dyDescent="0.3">
      <c r="A85" s="52" t="s">
        <v>129</v>
      </c>
      <c r="B85" s="53" t="s">
        <v>142</v>
      </c>
      <c r="C85" s="54" t="s">
        <v>143</v>
      </c>
      <c r="D85" s="42">
        <v>2017</v>
      </c>
      <c r="E85" s="43">
        <v>17694</v>
      </c>
      <c r="F85" s="43">
        <f t="shared" si="11"/>
        <v>6681.2543999999998</v>
      </c>
      <c r="G85" s="44">
        <f t="shared" si="12"/>
        <v>11012.7456</v>
      </c>
      <c r="H85" s="43">
        <v>6307</v>
      </c>
      <c r="I85" s="43">
        <f t="shared" si="13"/>
        <v>4705.7456000000002</v>
      </c>
      <c r="J85" s="43">
        <v>2070</v>
      </c>
      <c r="K85" s="43">
        <v>85921</v>
      </c>
      <c r="L85" s="44">
        <v>83347</v>
      </c>
      <c r="M85" s="43">
        <v>108383</v>
      </c>
      <c r="N85" s="43">
        <v>20640</v>
      </c>
      <c r="O85" s="46">
        <v>179315000</v>
      </c>
      <c r="P85" s="55">
        <f t="shared" si="14"/>
        <v>6.1415640632406657E-3</v>
      </c>
    </row>
    <row r="86" spans="1:16" ht="15" hidden="1" customHeight="1" x14ac:dyDescent="0.3">
      <c r="A86" s="48" t="s">
        <v>129</v>
      </c>
      <c r="B86" s="49" t="s">
        <v>142</v>
      </c>
      <c r="C86" s="50" t="s">
        <v>143</v>
      </c>
      <c r="D86" s="36">
        <v>2018</v>
      </c>
      <c r="E86" s="37">
        <v>19304</v>
      </c>
      <c r="F86" s="37">
        <f t="shared" si="11"/>
        <v>7289.1903999999995</v>
      </c>
      <c r="G86" s="38">
        <f t="shared" si="12"/>
        <v>12014.809600000001</v>
      </c>
      <c r="H86" s="37">
        <v>6636</v>
      </c>
      <c r="I86" s="37">
        <f t="shared" si="13"/>
        <v>5378.8096000000005</v>
      </c>
      <c r="J86" s="37">
        <v>1321</v>
      </c>
      <c r="K86" s="37">
        <v>84746</v>
      </c>
      <c r="L86" s="38">
        <v>84325</v>
      </c>
      <c r="M86" s="37">
        <v>108511</v>
      </c>
      <c r="N86" s="37">
        <v>22181</v>
      </c>
      <c r="O86" s="40">
        <v>189435000</v>
      </c>
      <c r="P86" s="51">
        <f t="shared" si="14"/>
        <v>6.342444426848259E-3</v>
      </c>
    </row>
    <row r="87" spans="1:16" ht="15" hidden="1" customHeight="1" x14ac:dyDescent="0.3">
      <c r="A87" s="52" t="s">
        <v>129</v>
      </c>
      <c r="B87" s="53" t="s">
        <v>142</v>
      </c>
      <c r="C87" s="54" t="s">
        <v>143</v>
      </c>
      <c r="D87" s="42">
        <v>2019</v>
      </c>
      <c r="E87" s="43">
        <v>19351</v>
      </c>
      <c r="F87" s="43">
        <f t="shared" si="11"/>
        <v>7306.9376000000002</v>
      </c>
      <c r="G87" s="44">
        <f t="shared" si="12"/>
        <v>12044.062399999999</v>
      </c>
      <c r="H87" s="43">
        <v>7040</v>
      </c>
      <c r="I87" s="43">
        <f t="shared" si="13"/>
        <v>5004.0623999999989</v>
      </c>
      <c r="J87" s="43">
        <v>2406</v>
      </c>
      <c r="K87" s="43">
        <v>86550</v>
      </c>
      <c r="L87" s="44">
        <v>87336</v>
      </c>
      <c r="M87" s="43">
        <v>111623</v>
      </c>
      <c r="N87" s="43">
        <v>24681</v>
      </c>
      <c r="O87" s="46">
        <v>195548000</v>
      </c>
      <c r="P87" s="55">
        <f t="shared" si="14"/>
        <v>6.1591335119765989E-3</v>
      </c>
    </row>
    <row r="88" spans="1:16" ht="15" hidden="1" customHeight="1" x14ac:dyDescent="0.3">
      <c r="A88" s="48" t="s">
        <v>129</v>
      </c>
      <c r="B88" s="49" t="s">
        <v>142</v>
      </c>
      <c r="C88" s="50" t="s">
        <v>143</v>
      </c>
      <c r="D88" s="36">
        <v>2020</v>
      </c>
      <c r="E88" s="37">
        <v>16452</v>
      </c>
      <c r="F88" s="37">
        <f t="shared" si="11"/>
        <v>6212.2752</v>
      </c>
      <c r="G88" s="38">
        <f t="shared" si="12"/>
        <v>10239.7248</v>
      </c>
      <c r="H88" s="37">
        <v>6881</v>
      </c>
      <c r="I88" s="37">
        <f t="shared" si="13"/>
        <v>3358.7248</v>
      </c>
      <c r="J88" s="37">
        <v>1672</v>
      </c>
      <c r="K88" s="37">
        <v>88486</v>
      </c>
      <c r="L88" s="38">
        <v>79782</v>
      </c>
      <c r="M88" s="37">
        <v>117739</v>
      </c>
      <c r="N88" s="37">
        <v>26411</v>
      </c>
      <c r="O88" s="40">
        <v>201307000</v>
      </c>
      <c r="P88" s="51">
        <f t="shared" si="14"/>
        <v>5.0866213296109925E-3</v>
      </c>
    </row>
    <row r="89" spans="1:16" hidden="1" x14ac:dyDescent="0.3">
      <c r="A89" s="52" t="s">
        <v>129</v>
      </c>
      <c r="B89" s="53" t="s">
        <v>142</v>
      </c>
      <c r="C89" s="54" t="s">
        <v>143</v>
      </c>
      <c r="D89" s="42">
        <v>2021</v>
      </c>
      <c r="E89" s="43">
        <v>16441</v>
      </c>
      <c r="F89" s="43">
        <f t="shared" si="11"/>
        <v>6208.1215999999995</v>
      </c>
      <c r="G89" s="44">
        <f t="shared" si="12"/>
        <v>10232.878400000001</v>
      </c>
      <c r="H89" s="43">
        <v>7425</v>
      </c>
      <c r="I89" s="43">
        <f t="shared" si="13"/>
        <v>2807.8784000000014</v>
      </c>
      <c r="J89" s="43">
        <v>3135</v>
      </c>
      <c r="K89" s="43">
        <v>93050</v>
      </c>
      <c r="L89" s="44">
        <v>99717</v>
      </c>
      <c r="M89" s="43">
        <v>125923</v>
      </c>
      <c r="N89" s="43">
        <v>27980</v>
      </c>
      <c r="O89" s="46">
        <v>239556000</v>
      </c>
      <c r="P89" s="55">
        <f t="shared" si="14"/>
        <v>4.2716017966571498E-3</v>
      </c>
    </row>
    <row r="90" spans="1:16" hidden="1" x14ac:dyDescent="0.3">
      <c r="A90" s="48" t="s">
        <v>129</v>
      </c>
      <c r="B90" s="49" t="s">
        <v>142</v>
      </c>
      <c r="C90" s="50" t="s">
        <v>143</v>
      </c>
      <c r="D90" s="36">
        <v>2022</v>
      </c>
      <c r="E90" s="37">
        <v>15127</v>
      </c>
      <c r="F90" s="37">
        <f t="shared" si="11"/>
        <v>5711.9551999999994</v>
      </c>
      <c r="G90" s="38">
        <f t="shared" si="12"/>
        <v>9415.0447999999997</v>
      </c>
      <c r="H90" s="37">
        <v>6900</v>
      </c>
      <c r="I90" s="37">
        <f t="shared" si="13"/>
        <v>2515.0447999999997</v>
      </c>
      <c r="J90" s="37">
        <v>37</v>
      </c>
      <c r="K90" s="37">
        <v>98763</v>
      </c>
      <c r="L90" s="38">
        <v>109521</v>
      </c>
      <c r="M90" s="37">
        <v>131009</v>
      </c>
      <c r="N90" s="37">
        <v>28386</v>
      </c>
      <c r="O90" s="40">
        <v>262954000</v>
      </c>
      <c r="P90" s="51">
        <f t="shared" si="14"/>
        <v>3.5804911885729063E-3</v>
      </c>
    </row>
    <row r="91" spans="1:16" hidden="1" x14ac:dyDescent="0.3">
      <c r="A91" s="52" t="s">
        <v>129</v>
      </c>
      <c r="B91" s="53" t="s">
        <v>142</v>
      </c>
      <c r="C91" s="54" t="s">
        <v>143</v>
      </c>
      <c r="D91" s="42">
        <v>2023</v>
      </c>
      <c r="E91" s="43">
        <v>20038</v>
      </c>
      <c r="F91" s="43">
        <f t="shared" si="11"/>
        <v>7566.3487999999998</v>
      </c>
      <c r="G91" s="44">
        <f t="shared" si="12"/>
        <v>12471.6512</v>
      </c>
      <c r="H91" s="43">
        <v>7430</v>
      </c>
      <c r="I91" s="43">
        <f t="shared" si="13"/>
        <v>5041.6512000000002</v>
      </c>
      <c r="J91" s="43">
        <v>-295</v>
      </c>
      <c r="K91" s="43">
        <v>99715</v>
      </c>
      <c r="L91" s="44">
        <v>109151</v>
      </c>
      <c r="M91" s="43">
        <v>131053</v>
      </c>
      <c r="N91" s="43">
        <v>28155</v>
      </c>
      <c r="O91" s="46">
        <v>282097000</v>
      </c>
      <c r="P91" s="55">
        <f t="shared" si="14"/>
        <v>4.4210506315203639E-3</v>
      </c>
    </row>
    <row r="92" spans="1:16" hidden="1" x14ac:dyDescent="0.3">
      <c r="A92" s="48" t="s">
        <v>129</v>
      </c>
      <c r="B92" s="49" t="s">
        <v>142</v>
      </c>
      <c r="C92" s="50" t="s">
        <v>143</v>
      </c>
      <c r="D92" s="36">
        <v>2024</v>
      </c>
      <c r="E92" s="37">
        <v>24976</v>
      </c>
      <c r="F92" s="37">
        <f t="shared" si="11"/>
        <v>9430.9375999999993</v>
      </c>
      <c r="G92" s="38">
        <f t="shared" si="12"/>
        <v>15545.062400000001</v>
      </c>
      <c r="H92" s="37">
        <v>8304</v>
      </c>
      <c r="I92" s="37">
        <f t="shared" si="13"/>
        <v>7241.0624000000007</v>
      </c>
      <c r="J92" s="37">
        <v>3762</v>
      </c>
      <c r="K92" s="37">
        <v>101426</v>
      </c>
      <c r="L92" s="38">
        <v>114823</v>
      </c>
      <c r="M92" s="37">
        <v>137067</v>
      </c>
      <c r="N92" s="37">
        <v>31991</v>
      </c>
      <c r="O92" s="40">
        <v>310681000</v>
      </c>
      <c r="P92" s="51">
        <f t="shared" si="14"/>
        <v>5.0035446004100675E-3</v>
      </c>
    </row>
    <row r="93" spans="1:16" x14ac:dyDescent="0.3">
      <c r="A93" s="52" t="s">
        <v>129</v>
      </c>
      <c r="B93" s="53" t="s">
        <v>142</v>
      </c>
      <c r="C93" s="54" t="s">
        <v>143</v>
      </c>
      <c r="D93" s="42">
        <v>2025</v>
      </c>
      <c r="E93" s="43">
        <v>27346</v>
      </c>
      <c r="F93" s="43">
        <f t="shared" ref="F93" si="15">0.3776*E93</f>
        <v>10325.8496</v>
      </c>
      <c r="G93" s="44">
        <f t="shared" ref="G93" si="16">+E93-F93</f>
        <v>17020.150399999999</v>
      </c>
      <c r="H93" s="43">
        <v>9456</v>
      </c>
      <c r="I93" s="43">
        <f t="shared" ref="I93" si="17">+G93-H93</f>
        <v>7564.1503999999986</v>
      </c>
      <c r="J93" s="43">
        <v>5114</v>
      </c>
      <c r="K93" s="43">
        <v>105272</v>
      </c>
      <c r="L93" s="44">
        <v>118724</v>
      </c>
      <c r="M93" s="43">
        <v>147185</v>
      </c>
      <c r="N93" s="43">
        <v>36311</v>
      </c>
      <c r="O93" s="46">
        <v>339978000</v>
      </c>
      <c r="P93" s="55">
        <f t="shared" ref="P93" si="18">+(G93/O93)*100</f>
        <v>5.0062505220926055E-3</v>
      </c>
    </row>
    <row r="95" spans="1:16" x14ac:dyDescent="0.3">
      <c r="A95" s="52"/>
      <c r="B95" s="53"/>
      <c r="C95" s="54"/>
      <c r="D95" s="42"/>
      <c r="E95" s="43"/>
      <c r="F95" s="43"/>
      <c r="G95" s="44"/>
      <c r="H95" s="43"/>
      <c r="I95" s="43"/>
      <c r="J95" s="43"/>
      <c r="K95" s="43"/>
      <c r="L95" s="44"/>
      <c r="M95" s="43"/>
      <c r="N95" s="43"/>
      <c r="O95" s="46"/>
      <c r="P95" s="55"/>
    </row>
    <row r="96" spans="1:16" x14ac:dyDescent="0.3">
      <c r="A96" s="48"/>
      <c r="B96" s="49"/>
      <c r="C96" s="50"/>
      <c r="D96" s="36"/>
      <c r="E96" s="37"/>
      <c r="F96" s="37"/>
      <c r="G96" s="38"/>
      <c r="H96" s="37"/>
      <c r="I96" s="37"/>
      <c r="J96" s="37"/>
      <c r="K96" s="37"/>
      <c r="L96" s="38"/>
      <c r="M96" s="37"/>
      <c r="N96" s="37"/>
      <c r="O96" s="40"/>
      <c r="P96" s="51"/>
    </row>
    <row r="97" spans="1:16" x14ac:dyDescent="0.3">
      <c r="A97" s="52"/>
      <c r="B97" s="53"/>
      <c r="C97" s="54"/>
      <c r="D97" s="42"/>
      <c r="E97" s="43"/>
      <c r="F97" s="43"/>
      <c r="G97" s="44"/>
      <c r="H97" s="43"/>
      <c r="I97" s="43"/>
      <c r="J97" s="43"/>
      <c r="K97" s="43"/>
      <c r="L97" s="44"/>
      <c r="M97" s="43"/>
      <c r="N97" s="43"/>
      <c r="O97" s="46"/>
      <c r="P97" s="55"/>
    </row>
    <row r="98" spans="1:16" x14ac:dyDescent="0.3">
      <c r="A98" s="48"/>
      <c r="B98" s="49"/>
      <c r="C98" s="50"/>
      <c r="D98" s="36"/>
      <c r="E98" s="37"/>
      <c r="F98" s="37"/>
      <c r="G98" s="38"/>
      <c r="H98" s="37"/>
      <c r="I98" s="37"/>
      <c r="J98" s="37"/>
      <c r="K98" s="37"/>
      <c r="L98" s="38"/>
      <c r="M98" s="37"/>
      <c r="N98" s="37"/>
      <c r="O98" s="40"/>
      <c r="P98" s="51"/>
    </row>
    <row r="99" spans="1:16" x14ac:dyDescent="0.3">
      <c r="A99" s="52"/>
      <c r="B99" s="53"/>
      <c r="C99" s="54"/>
      <c r="D99" s="42"/>
      <c r="E99" s="43"/>
      <c r="F99" s="43"/>
      <c r="G99" s="44"/>
      <c r="H99" s="43"/>
      <c r="I99" s="43"/>
      <c r="J99" s="43"/>
      <c r="K99" s="43"/>
      <c r="L99" s="44"/>
      <c r="M99" s="43"/>
      <c r="N99" s="43"/>
      <c r="O99" s="46"/>
      <c r="P99" s="55"/>
    </row>
  </sheetData>
  <autoFilter ref="A2:P93" xr:uid="{00000000-0001-0000-0500-000000000000}">
    <filterColumn colId="3">
      <filters>
        <filter val="2025"/>
      </filters>
    </filterColumn>
  </autoFilter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A1:H944"/>
  <sheetViews>
    <sheetView zoomScale="90" workbookViewId="0">
      <pane ySplit="2" topLeftCell="A212" activePane="bottomLeft" state="frozen"/>
      <selection pane="bottomLeft" activeCell="C4" sqref="C4:C944"/>
    </sheetView>
  </sheetViews>
  <sheetFormatPr baseColWidth="10" defaultColWidth="8.88671875" defaultRowHeight="14.4" x14ac:dyDescent="0.3"/>
  <cols>
    <col min="1" max="1" width="16" customWidth="1"/>
    <col min="2" max="2" width="45" customWidth="1"/>
    <col min="3" max="3" width="28" customWidth="1"/>
    <col min="4" max="4" width="12" customWidth="1"/>
    <col min="5" max="5" width="16" customWidth="1"/>
    <col min="6" max="6" width="18" customWidth="1"/>
    <col min="7" max="8" width="14" customWidth="1"/>
  </cols>
  <sheetData>
    <row r="1" spans="1:8" ht="28.05" customHeight="1" x14ac:dyDescent="0.3">
      <c r="A1" s="96" t="s">
        <v>144</v>
      </c>
      <c r="B1" s="76"/>
      <c r="C1" s="76"/>
      <c r="D1" s="76"/>
      <c r="E1" s="76"/>
      <c r="F1" s="76"/>
      <c r="G1" s="76"/>
      <c r="H1" s="76"/>
    </row>
    <row r="2" spans="1:8" ht="19.95" customHeight="1" x14ac:dyDescent="0.3">
      <c r="A2" s="33" t="s">
        <v>48</v>
      </c>
      <c r="B2" s="33" t="s">
        <v>145</v>
      </c>
      <c r="C2" s="33" t="s">
        <v>146</v>
      </c>
      <c r="D2" s="33" t="s">
        <v>147</v>
      </c>
      <c r="E2" s="33" t="s">
        <v>148</v>
      </c>
      <c r="F2" s="33" t="s">
        <v>149</v>
      </c>
      <c r="G2" s="33" t="s">
        <v>150</v>
      </c>
      <c r="H2" s="33" t="s">
        <v>151</v>
      </c>
    </row>
    <row r="3" spans="1:8" ht="15" customHeight="1" x14ac:dyDescent="0.3">
      <c r="A3" s="34" t="s">
        <v>152</v>
      </c>
      <c r="B3" s="35" t="s">
        <v>153</v>
      </c>
      <c r="C3" s="35" t="s">
        <v>154</v>
      </c>
      <c r="D3" s="34" t="s">
        <v>155</v>
      </c>
      <c r="E3" s="34">
        <v>7</v>
      </c>
      <c r="F3" s="34">
        <v>5</v>
      </c>
      <c r="G3" s="34"/>
      <c r="H3" s="34"/>
    </row>
    <row r="4" spans="1:8" ht="15" customHeight="1" x14ac:dyDescent="0.3">
      <c r="A4" s="24" t="s">
        <v>156</v>
      </c>
      <c r="B4" s="23" t="s">
        <v>157</v>
      </c>
      <c r="C4" s="23" t="s">
        <v>158</v>
      </c>
      <c r="D4" s="24" t="s">
        <v>155</v>
      </c>
      <c r="E4" s="24">
        <v>12</v>
      </c>
      <c r="F4" s="24">
        <v>7</v>
      </c>
      <c r="G4" s="24"/>
      <c r="H4" s="24"/>
    </row>
    <row r="5" spans="1:8" ht="15" customHeight="1" x14ac:dyDescent="0.3">
      <c r="A5" s="34" t="s">
        <v>159</v>
      </c>
      <c r="B5" s="35" t="s">
        <v>160</v>
      </c>
      <c r="C5" s="35" t="s">
        <v>158</v>
      </c>
      <c r="D5" s="34" t="s">
        <v>155</v>
      </c>
      <c r="E5" s="34">
        <v>0</v>
      </c>
      <c r="F5" s="34">
        <v>1</v>
      </c>
      <c r="G5" s="34"/>
      <c r="H5" s="34"/>
    </row>
    <row r="6" spans="1:8" ht="15" customHeight="1" x14ac:dyDescent="0.3">
      <c r="A6" s="24" t="s">
        <v>96</v>
      </c>
      <c r="B6" s="23" t="s">
        <v>161</v>
      </c>
      <c r="C6" s="23" t="s">
        <v>158</v>
      </c>
      <c r="D6" s="24" t="s">
        <v>155</v>
      </c>
      <c r="E6" s="24">
        <v>56</v>
      </c>
      <c r="F6" s="24">
        <v>10</v>
      </c>
      <c r="G6" s="24"/>
      <c r="H6" s="24"/>
    </row>
    <row r="7" spans="1:8" ht="15" customHeight="1" x14ac:dyDescent="0.3">
      <c r="A7" s="34" t="s">
        <v>162</v>
      </c>
      <c r="B7" s="35" t="s">
        <v>163</v>
      </c>
      <c r="C7" s="35" t="s">
        <v>164</v>
      </c>
      <c r="D7" s="34" t="s">
        <v>155</v>
      </c>
      <c r="E7" s="34">
        <v>0</v>
      </c>
      <c r="F7" s="34">
        <v>11</v>
      </c>
      <c r="G7" s="34"/>
      <c r="H7" s="34"/>
    </row>
    <row r="8" spans="1:8" ht="15" customHeight="1" x14ac:dyDescent="0.3">
      <c r="A8" s="24" t="s">
        <v>165</v>
      </c>
      <c r="B8" s="23" t="s">
        <v>166</v>
      </c>
      <c r="C8" s="23" t="s">
        <v>164</v>
      </c>
      <c r="D8" s="24" t="s">
        <v>155</v>
      </c>
      <c r="E8" s="24">
        <v>40</v>
      </c>
      <c r="F8" s="24">
        <v>3</v>
      </c>
      <c r="G8" s="24"/>
      <c r="H8" s="24"/>
    </row>
    <row r="9" spans="1:8" ht="15" customHeight="1" x14ac:dyDescent="0.3">
      <c r="A9" s="34" t="s">
        <v>167</v>
      </c>
      <c r="B9" s="35" t="s">
        <v>168</v>
      </c>
      <c r="C9" s="35" t="s">
        <v>158</v>
      </c>
      <c r="D9" s="34" t="s">
        <v>155</v>
      </c>
      <c r="E9" s="34">
        <v>0</v>
      </c>
      <c r="F9" s="34">
        <v>2</v>
      </c>
      <c r="G9" s="34"/>
      <c r="H9" s="34"/>
    </row>
    <row r="10" spans="1:8" ht="15" customHeight="1" x14ac:dyDescent="0.3">
      <c r="A10" s="24" t="s">
        <v>169</v>
      </c>
      <c r="B10" s="23" t="s">
        <v>170</v>
      </c>
      <c r="C10" s="23" t="s">
        <v>171</v>
      </c>
      <c r="D10" s="24" t="s">
        <v>155</v>
      </c>
      <c r="E10" s="24">
        <v>1</v>
      </c>
      <c r="F10" s="24">
        <v>1</v>
      </c>
      <c r="G10" s="24"/>
      <c r="H10" s="24"/>
    </row>
    <row r="11" spans="1:8" ht="15" customHeight="1" x14ac:dyDescent="0.3">
      <c r="A11" s="34" t="s">
        <v>172</v>
      </c>
      <c r="B11" s="35" t="s">
        <v>173</v>
      </c>
      <c r="C11" s="35" t="s">
        <v>158</v>
      </c>
      <c r="D11" s="34" t="s">
        <v>155</v>
      </c>
      <c r="E11" s="34">
        <v>0</v>
      </c>
      <c r="F11" s="34">
        <v>1</v>
      </c>
      <c r="G11" s="34"/>
      <c r="H11" s="34"/>
    </row>
    <row r="12" spans="1:8" ht="15" customHeight="1" x14ac:dyDescent="0.3">
      <c r="A12" s="24" t="s">
        <v>94</v>
      </c>
      <c r="B12" s="23" t="s">
        <v>174</v>
      </c>
      <c r="C12" s="23" t="s">
        <v>158</v>
      </c>
      <c r="D12" s="24" t="s">
        <v>155</v>
      </c>
      <c r="E12" s="24">
        <v>2</v>
      </c>
      <c r="F12" s="24">
        <v>1</v>
      </c>
      <c r="G12" s="24"/>
      <c r="H12" s="24"/>
    </row>
    <row r="13" spans="1:8" ht="15" customHeight="1" x14ac:dyDescent="0.3">
      <c r="A13" s="34" t="s">
        <v>175</v>
      </c>
      <c r="B13" s="35" t="s">
        <v>176</v>
      </c>
      <c r="C13" s="35" t="s">
        <v>158</v>
      </c>
      <c r="D13" s="34" t="s">
        <v>155</v>
      </c>
      <c r="E13" s="34">
        <v>1</v>
      </c>
      <c r="F13" s="34">
        <v>3</v>
      </c>
      <c r="G13" s="34"/>
      <c r="H13" s="34"/>
    </row>
    <row r="14" spans="1:8" ht="15" customHeight="1" x14ac:dyDescent="0.3">
      <c r="A14" s="24" t="s">
        <v>82</v>
      </c>
      <c r="B14" s="23" t="s">
        <v>177</v>
      </c>
      <c r="C14" s="23" t="s">
        <v>164</v>
      </c>
      <c r="D14" s="24" t="s">
        <v>155</v>
      </c>
      <c r="E14" s="24">
        <v>0</v>
      </c>
      <c r="F14" s="24">
        <v>1</v>
      </c>
      <c r="G14" s="24"/>
      <c r="H14" s="24"/>
    </row>
    <row r="15" spans="1:8" ht="15" customHeight="1" x14ac:dyDescent="0.3">
      <c r="A15" s="34" t="s">
        <v>178</v>
      </c>
      <c r="B15" s="35" t="s">
        <v>179</v>
      </c>
      <c r="C15" s="35" t="s">
        <v>171</v>
      </c>
      <c r="D15" s="34" t="s">
        <v>155</v>
      </c>
      <c r="E15" s="34">
        <v>0</v>
      </c>
      <c r="F15" s="34">
        <v>3</v>
      </c>
      <c r="G15" s="34"/>
      <c r="H15" s="34"/>
    </row>
    <row r="16" spans="1:8" ht="15" customHeight="1" x14ac:dyDescent="0.3">
      <c r="A16" s="24" t="s">
        <v>54</v>
      </c>
      <c r="B16" s="23" t="s">
        <v>180</v>
      </c>
      <c r="C16" s="23" t="s">
        <v>171</v>
      </c>
      <c r="D16" s="24" t="s">
        <v>155</v>
      </c>
      <c r="E16" s="24">
        <v>103</v>
      </c>
      <c r="F16" s="24">
        <v>10</v>
      </c>
      <c r="G16" s="24">
        <v>139</v>
      </c>
      <c r="H16" s="24">
        <v>9</v>
      </c>
    </row>
    <row r="17" spans="1:8" ht="15" customHeight="1" x14ac:dyDescent="0.3">
      <c r="A17" s="34" t="s">
        <v>181</v>
      </c>
      <c r="B17" s="35" t="s">
        <v>182</v>
      </c>
      <c r="C17" s="35" t="s">
        <v>171</v>
      </c>
      <c r="D17" s="34" t="s">
        <v>155</v>
      </c>
      <c r="E17" s="34">
        <v>0</v>
      </c>
      <c r="F17" s="34">
        <v>1</v>
      </c>
      <c r="G17" s="34"/>
      <c r="H17" s="34"/>
    </row>
    <row r="18" spans="1:8" ht="15" customHeight="1" x14ac:dyDescent="0.3">
      <c r="A18" s="24" t="s">
        <v>183</v>
      </c>
      <c r="B18" s="23" t="s">
        <v>184</v>
      </c>
      <c r="C18" s="23" t="s">
        <v>185</v>
      </c>
      <c r="D18" s="24" t="s">
        <v>155</v>
      </c>
      <c r="E18" s="24">
        <v>0</v>
      </c>
      <c r="F18" s="24">
        <v>1</v>
      </c>
      <c r="G18" s="24"/>
      <c r="H18" s="24"/>
    </row>
    <row r="19" spans="1:8" ht="15" customHeight="1" x14ac:dyDescent="0.3">
      <c r="A19" s="34" t="s">
        <v>186</v>
      </c>
      <c r="B19" s="35" t="s">
        <v>187</v>
      </c>
      <c r="C19" s="35" t="s">
        <v>188</v>
      </c>
      <c r="D19" s="34" t="s">
        <v>155</v>
      </c>
      <c r="E19" s="34">
        <v>0</v>
      </c>
      <c r="F19" s="34">
        <v>1</v>
      </c>
      <c r="G19" s="34"/>
      <c r="H19" s="34"/>
    </row>
    <row r="20" spans="1:8" ht="15" customHeight="1" x14ac:dyDescent="0.3">
      <c r="A20" s="24" t="s">
        <v>49</v>
      </c>
      <c r="B20" s="23" t="s">
        <v>189</v>
      </c>
      <c r="C20" s="23" t="s">
        <v>158</v>
      </c>
      <c r="D20" s="24" t="s">
        <v>155</v>
      </c>
      <c r="E20" s="24">
        <v>217</v>
      </c>
      <c r="F20" s="24">
        <v>11</v>
      </c>
      <c r="G20" s="24">
        <v>194</v>
      </c>
      <c r="H20" s="24">
        <v>7</v>
      </c>
    </row>
    <row r="21" spans="1:8" ht="15" customHeight="1" x14ac:dyDescent="0.3">
      <c r="A21" s="34" t="s">
        <v>190</v>
      </c>
      <c r="B21" s="35" t="s">
        <v>191</v>
      </c>
      <c r="C21" s="35" t="s">
        <v>171</v>
      </c>
      <c r="D21" s="34" t="s">
        <v>155</v>
      </c>
      <c r="E21" s="34">
        <v>0</v>
      </c>
      <c r="F21" s="34">
        <v>1</v>
      </c>
      <c r="G21" s="34"/>
      <c r="H21" s="34"/>
    </row>
    <row r="22" spans="1:8" ht="15" customHeight="1" x14ac:dyDescent="0.3">
      <c r="A22" s="24" t="s">
        <v>192</v>
      </c>
      <c r="B22" s="23" t="s">
        <v>193</v>
      </c>
      <c r="C22" s="23" t="s">
        <v>158</v>
      </c>
      <c r="D22" s="24" t="s">
        <v>155</v>
      </c>
      <c r="E22" s="24">
        <v>10</v>
      </c>
      <c r="F22" s="24">
        <v>1</v>
      </c>
      <c r="G22" s="24"/>
      <c r="H22" s="24"/>
    </row>
    <row r="23" spans="1:8" ht="15" customHeight="1" x14ac:dyDescent="0.3">
      <c r="A23" s="34" t="s">
        <v>194</v>
      </c>
      <c r="B23" s="35" t="s">
        <v>195</v>
      </c>
      <c r="C23" s="35" t="s">
        <v>185</v>
      </c>
      <c r="D23" s="34" t="s">
        <v>155</v>
      </c>
      <c r="E23" s="34">
        <v>0</v>
      </c>
      <c r="F23" s="34">
        <v>1</v>
      </c>
      <c r="G23" s="34"/>
      <c r="H23" s="34"/>
    </row>
    <row r="24" spans="1:8" ht="15" customHeight="1" x14ac:dyDescent="0.3">
      <c r="A24" s="24" t="s">
        <v>196</v>
      </c>
      <c r="B24" s="23" t="s">
        <v>197</v>
      </c>
      <c r="C24" s="23" t="s">
        <v>198</v>
      </c>
      <c r="D24" s="24" t="s">
        <v>155</v>
      </c>
      <c r="E24" s="24">
        <v>87</v>
      </c>
      <c r="F24" s="24">
        <v>11</v>
      </c>
      <c r="G24" s="24"/>
      <c r="H24" s="24"/>
    </row>
    <row r="25" spans="1:8" ht="15" customHeight="1" x14ac:dyDescent="0.3">
      <c r="A25" s="34" t="s">
        <v>199</v>
      </c>
      <c r="B25" s="35" t="s">
        <v>200</v>
      </c>
      <c r="C25" s="35" t="s">
        <v>158</v>
      </c>
      <c r="D25" s="34" t="s">
        <v>155</v>
      </c>
      <c r="E25" s="34">
        <v>0</v>
      </c>
      <c r="F25" s="34">
        <v>1</v>
      </c>
      <c r="G25" s="34"/>
      <c r="H25" s="34"/>
    </row>
    <row r="26" spans="1:8" ht="15" customHeight="1" x14ac:dyDescent="0.3">
      <c r="A26" s="24" t="s">
        <v>201</v>
      </c>
      <c r="B26" s="23" t="s">
        <v>202</v>
      </c>
      <c r="C26" s="23" t="s">
        <v>158</v>
      </c>
      <c r="D26" s="24" t="s">
        <v>155</v>
      </c>
      <c r="E26" s="24">
        <v>405</v>
      </c>
      <c r="F26" s="24">
        <v>12</v>
      </c>
      <c r="G26" s="24"/>
      <c r="H26" s="24"/>
    </row>
    <row r="27" spans="1:8" ht="15" customHeight="1" x14ac:dyDescent="0.3">
      <c r="A27" s="34" t="s">
        <v>203</v>
      </c>
      <c r="B27" s="35" t="s">
        <v>204</v>
      </c>
      <c r="C27" s="35" t="s">
        <v>188</v>
      </c>
      <c r="D27" s="34" t="s">
        <v>155</v>
      </c>
      <c r="E27" s="34">
        <v>11</v>
      </c>
      <c r="F27" s="34">
        <v>7</v>
      </c>
      <c r="G27" s="34"/>
      <c r="H27" s="34"/>
    </row>
    <row r="28" spans="1:8" ht="15" customHeight="1" x14ac:dyDescent="0.3">
      <c r="A28" s="24" t="s">
        <v>205</v>
      </c>
      <c r="B28" s="23" t="s">
        <v>206</v>
      </c>
      <c r="C28" s="23" t="s">
        <v>171</v>
      </c>
      <c r="D28" s="24" t="s">
        <v>155</v>
      </c>
      <c r="E28" s="24">
        <v>0</v>
      </c>
      <c r="F28" s="24">
        <v>3</v>
      </c>
      <c r="G28" s="24"/>
      <c r="H28" s="24"/>
    </row>
    <row r="29" spans="1:8" ht="15" customHeight="1" x14ac:dyDescent="0.3">
      <c r="A29" s="34" t="s">
        <v>207</v>
      </c>
      <c r="B29" s="35" t="s">
        <v>208</v>
      </c>
      <c r="C29" s="35" t="s">
        <v>164</v>
      </c>
      <c r="D29" s="34" t="s">
        <v>155</v>
      </c>
      <c r="E29" s="34">
        <v>1</v>
      </c>
      <c r="F29" s="34">
        <v>6</v>
      </c>
      <c r="G29" s="34"/>
      <c r="H29" s="34"/>
    </row>
    <row r="30" spans="1:8" ht="15" customHeight="1" x14ac:dyDescent="0.3">
      <c r="A30" s="24" t="s">
        <v>209</v>
      </c>
      <c r="B30" s="23" t="s">
        <v>210</v>
      </c>
      <c r="C30" s="23" t="s">
        <v>171</v>
      </c>
      <c r="D30" s="24" t="s">
        <v>155</v>
      </c>
      <c r="E30" s="24">
        <v>6</v>
      </c>
      <c r="F30" s="24">
        <v>5</v>
      </c>
      <c r="G30" s="24"/>
      <c r="H30" s="24"/>
    </row>
    <row r="31" spans="1:8" ht="15" customHeight="1" x14ac:dyDescent="0.3">
      <c r="A31" s="34" t="s">
        <v>211</v>
      </c>
      <c r="B31" s="35" t="s">
        <v>212</v>
      </c>
      <c r="C31" s="35" t="s">
        <v>213</v>
      </c>
      <c r="D31" s="34" t="s">
        <v>155</v>
      </c>
      <c r="E31" s="34">
        <v>20</v>
      </c>
      <c r="F31" s="34">
        <v>7</v>
      </c>
      <c r="G31" s="34"/>
      <c r="H31" s="34"/>
    </row>
    <row r="32" spans="1:8" ht="15" customHeight="1" x14ac:dyDescent="0.3">
      <c r="A32" s="24" t="s">
        <v>214</v>
      </c>
      <c r="B32" s="23" t="s">
        <v>215</v>
      </c>
      <c r="C32" s="23" t="s">
        <v>216</v>
      </c>
      <c r="D32" s="24" t="s">
        <v>155</v>
      </c>
      <c r="E32" s="24">
        <v>20</v>
      </c>
      <c r="F32" s="24">
        <v>7</v>
      </c>
      <c r="G32" s="24"/>
      <c r="H32" s="24"/>
    </row>
    <row r="33" spans="1:8" ht="15" customHeight="1" x14ac:dyDescent="0.3">
      <c r="A33" s="34" t="s">
        <v>217</v>
      </c>
      <c r="B33" s="35" t="s">
        <v>218</v>
      </c>
      <c r="C33" s="35" t="s">
        <v>185</v>
      </c>
      <c r="D33" s="34" t="s">
        <v>155</v>
      </c>
      <c r="E33" s="34">
        <v>10</v>
      </c>
      <c r="F33" s="34">
        <v>6</v>
      </c>
      <c r="G33" s="34"/>
      <c r="H33" s="34"/>
    </row>
    <row r="34" spans="1:8" ht="15" customHeight="1" x14ac:dyDescent="0.3">
      <c r="A34" s="24" t="s">
        <v>219</v>
      </c>
      <c r="B34" s="23" t="s">
        <v>220</v>
      </c>
      <c r="C34" s="23" t="s">
        <v>216</v>
      </c>
      <c r="D34" s="24" t="s">
        <v>155</v>
      </c>
      <c r="E34" s="24">
        <v>6</v>
      </c>
      <c r="F34" s="24">
        <v>5</v>
      </c>
      <c r="G34" s="24"/>
      <c r="H34" s="24"/>
    </row>
    <row r="35" spans="1:8" ht="15" customHeight="1" x14ac:dyDescent="0.3">
      <c r="A35" s="34" t="s">
        <v>221</v>
      </c>
      <c r="B35" s="35" t="s">
        <v>222</v>
      </c>
      <c r="C35" s="35" t="s">
        <v>216</v>
      </c>
      <c r="D35" s="34" t="s">
        <v>155</v>
      </c>
      <c r="E35" s="34">
        <v>6</v>
      </c>
      <c r="F35" s="34">
        <v>5</v>
      </c>
      <c r="G35" s="34"/>
      <c r="H35" s="34"/>
    </row>
    <row r="36" spans="1:8" ht="15" customHeight="1" x14ac:dyDescent="0.3">
      <c r="A36" s="24" t="s">
        <v>223</v>
      </c>
      <c r="B36" s="23" t="s">
        <v>224</v>
      </c>
      <c r="C36" s="23" t="s">
        <v>225</v>
      </c>
      <c r="D36" s="24" t="s">
        <v>155</v>
      </c>
      <c r="E36" s="24">
        <v>7</v>
      </c>
      <c r="F36" s="24">
        <v>6</v>
      </c>
      <c r="G36" s="24"/>
      <c r="H36" s="24"/>
    </row>
    <row r="37" spans="1:8" ht="15" customHeight="1" x14ac:dyDescent="0.3">
      <c r="A37" s="34" t="s">
        <v>226</v>
      </c>
      <c r="B37" s="35" t="s">
        <v>227</v>
      </c>
      <c r="C37" s="35" t="s">
        <v>158</v>
      </c>
      <c r="D37" s="34" t="s">
        <v>155</v>
      </c>
      <c r="E37" s="34">
        <v>8</v>
      </c>
      <c r="F37" s="34">
        <v>7</v>
      </c>
      <c r="G37" s="34"/>
      <c r="H37" s="34"/>
    </row>
    <row r="38" spans="1:8" ht="15" customHeight="1" x14ac:dyDescent="0.3">
      <c r="A38" s="24" t="s">
        <v>228</v>
      </c>
      <c r="B38" s="23" t="s">
        <v>229</v>
      </c>
      <c r="C38" s="23" t="s">
        <v>188</v>
      </c>
      <c r="D38" s="24" t="s">
        <v>155</v>
      </c>
      <c r="E38" s="24">
        <v>4</v>
      </c>
      <c r="F38" s="24">
        <v>3</v>
      </c>
      <c r="G38" s="24"/>
      <c r="H38" s="24"/>
    </row>
    <row r="39" spans="1:8" ht="15" customHeight="1" x14ac:dyDescent="0.3">
      <c r="A39" s="34" t="s">
        <v>230</v>
      </c>
      <c r="B39" s="35" t="s">
        <v>231</v>
      </c>
      <c r="C39" s="35" t="s">
        <v>158</v>
      </c>
      <c r="D39" s="34" t="s">
        <v>155</v>
      </c>
      <c r="E39" s="34">
        <v>2</v>
      </c>
      <c r="F39" s="34">
        <v>4</v>
      </c>
      <c r="G39" s="34"/>
      <c r="H39" s="34"/>
    </row>
    <row r="40" spans="1:8" ht="15" customHeight="1" x14ac:dyDescent="0.3">
      <c r="A40" s="24" t="s">
        <v>232</v>
      </c>
      <c r="B40" s="23" t="s">
        <v>233</v>
      </c>
      <c r="C40" s="23" t="s">
        <v>171</v>
      </c>
      <c r="D40" s="24" t="s">
        <v>155</v>
      </c>
      <c r="E40" s="24">
        <v>0</v>
      </c>
      <c r="F40" s="24">
        <v>4</v>
      </c>
      <c r="G40" s="24"/>
      <c r="H40" s="24"/>
    </row>
    <row r="41" spans="1:8" ht="15" customHeight="1" x14ac:dyDescent="0.3">
      <c r="A41" s="34" t="s">
        <v>234</v>
      </c>
      <c r="B41" s="35" t="s">
        <v>235</v>
      </c>
      <c r="C41" s="35" t="s">
        <v>185</v>
      </c>
      <c r="D41" s="34" t="s">
        <v>155</v>
      </c>
      <c r="E41" s="34">
        <v>2</v>
      </c>
      <c r="F41" s="34">
        <v>4</v>
      </c>
      <c r="G41" s="34"/>
      <c r="H41" s="34"/>
    </row>
    <row r="42" spans="1:8" ht="15" customHeight="1" x14ac:dyDescent="0.3">
      <c r="A42" s="24" t="s">
        <v>236</v>
      </c>
      <c r="B42" s="23" t="s">
        <v>237</v>
      </c>
      <c r="C42" s="23" t="s">
        <v>171</v>
      </c>
      <c r="D42" s="24" t="s">
        <v>155</v>
      </c>
      <c r="E42" s="24">
        <v>28</v>
      </c>
      <c r="F42" s="24">
        <v>8</v>
      </c>
      <c r="G42" s="24"/>
      <c r="H42" s="24"/>
    </row>
    <row r="43" spans="1:8" ht="15" customHeight="1" x14ac:dyDescent="0.3">
      <c r="A43" s="34" t="s">
        <v>238</v>
      </c>
      <c r="B43" s="35" t="s">
        <v>239</v>
      </c>
      <c r="C43" s="35" t="s">
        <v>216</v>
      </c>
      <c r="D43" s="34" t="s">
        <v>155</v>
      </c>
      <c r="E43" s="34">
        <v>3</v>
      </c>
      <c r="F43" s="34">
        <v>3</v>
      </c>
      <c r="G43" s="34"/>
      <c r="H43" s="34"/>
    </row>
    <row r="44" spans="1:8" ht="15" customHeight="1" x14ac:dyDescent="0.3">
      <c r="A44" s="24" t="s">
        <v>240</v>
      </c>
      <c r="B44" s="23" t="s">
        <v>241</v>
      </c>
      <c r="C44" s="23" t="s">
        <v>188</v>
      </c>
      <c r="D44" s="24" t="s">
        <v>155</v>
      </c>
      <c r="E44" s="24">
        <v>3</v>
      </c>
      <c r="F44" s="24">
        <v>4</v>
      </c>
      <c r="G44" s="24"/>
      <c r="H44" s="24"/>
    </row>
    <row r="45" spans="1:8" ht="15" customHeight="1" x14ac:dyDescent="0.3">
      <c r="A45" s="34" t="s">
        <v>242</v>
      </c>
      <c r="B45" s="35" t="s">
        <v>243</v>
      </c>
      <c r="C45" s="35" t="s">
        <v>171</v>
      </c>
      <c r="D45" s="34" t="s">
        <v>155</v>
      </c>
      <c r="E45" s="34">
        <v>2</v>
      </c>
      <c r="F45" s="34">
        <v>5</v>
      </c>
      <c r="G45" s="34"/>
      <c r="H45" s="34"/>
    </row>
    <row r="46" spans="1:8" ht="15" customHeight="1" x14ac:dyDescent="0.3">
      <c r="A46" s="24" t="s">
        <v>244</v>
      </c>
      <c r="B46" s="23" t="s">
        <v>245</v>
      </c>
      <c r="C46" s="23" t="s">
        <v>213</v>
      </c>
      <c r="D46" s="24" t="s">
        <v>155</v>
      </c>
      <c r="E46" s="24">
        <v>0</v>
      </c>
      <c r="F46" s="24">
        <v>1</v>
      </c>
      <c r="G46" s="24"/>
      <c r="H46" s="24"/>
    </row>
    <row r="47" spans="1:8" ht="15" customHeight="1" x14ac:dyDescent="0.3">
      <c r="A47" s="34" t="s">
        <v>246</v>
      </c>
      <c r="B47" s="35" t="s">
        <v>247</v>
      </c>
      <c r="C47" s="35" t="s">
        <v>225</v>
      </c>
      <c r="D47" s="34" t="s">
        <v>155</v>
      </c>
      <c r="E47" s="34">
        <v>5</v>
      </c>
      <c r="F47" s="34">
        <v>5</v>
      </c>
      <c r="G47" s="34"/>
      <c r="H47" s="34"/>
    </row>
    <row r="48" spans="1:8" ht="15" customHeight="1" x14ac:dyDescent="0.3">
      <c r="A48" s="24" t="s">
        <v>248</v>
      </c>
      <c r="B48" s="23" t="s">
        <v>249</v>
      </c>
      <c r="C48" s="23" t="s">
        <v>171</v>
      </c>
      <c r="D48" s="24" t="s">
        <v>155</v>
      </c>
      <c r="E48" s="24">
        <v>2</v>
      </c>
      <c r="F48" s="24">
        <v>4</v>
      </c>
      <c r="G48" s="24"/>
      <c r="H48" s="24"/>
    </row>
    <row r="49" spans="1:8" ht="15" customHeight="1" x14ac:dyDescent="0.3">
      <c r="A49" s="34" t="s">
        <v>250</v>
      </c>
      <c r="B49" s="35" t="s">
        <v>251</v>
      </c>
      <c r="C49" s="35" t="s">
        <v>216</v>
      </c>
      <c r="D49" s="34" t="s">
        <v>155</v>
      </c>
      <c r="E49" s="34">
        <v>11</v>
      </c>
      <c r="F49" s="34">
        <v>6</v>
      </c>
      <c r="G49" s="34"/>
      <c r="H49" s="34"/>
    </row>
    <row r="50" spans="1:8" ht="15" customHeight="1" x14ac:dyDescent="0.3">
      <c r="A50" s="24" t="s">
        <v>252</v>
      </c>
      <c r="B50" s="23" t="s">
        <v>253</v>
      </c>
      <c r="C50" s="23" t="s">
        <v>188</v>
      </c>
      <c r="D50" s="24" t="s">
        <v>155</v>
      </c>
      <c r="E50" s="24">
        <v>113</v>
      </c>
      <c r="F50" s="24">
        <v>13</v>
      </c>
      <c r="G50" s="24"/>
      <c r="H50" s="24"/>
    </row>
    <row r="51" spans="1:8" ht="15" customHeight="1" x14ac:dyDescent="0.3">
      <c r="A51" s="34" t="s">
        <v>254</v>
      </c>
      <c r="B51" s="35" t="s">
        <v>255</v>
      </c>
      <c r="C51" s="35" t="s">
        <v>216</v>
      </c>
      <c r="D51" s="34" t="s">
        <v>155</v>
      </c>
      <c r="E51" s="34">
        <v>5</v>
      </c>
      <c r="F51" s="34">
        <v>5</v>
      </c>
      <c r="G51" s="34"/>
      <c r="H51" s="34"/>
    </row>
    <row r="52" spans="1:8" ht="15" customHeight="1" x14ac:dyDescent="0.3">
      <c r="A52" s="24" t="s">
        <v>256</v>
      </c>
      <c r="B52" s="23" t="s">
        <v>257</v>
      </c>
      <c r="C52" s="23" t="s">
        <v>171</v>
      </c>
      <c r="D52" s="24" t="s">
        <v>155</v>
      </c>
      <c r="E52" s="24">
        <v>14</v>
      </c>
      <c r="F52" s="24">
        <v>6</v>
      </c>
      <c r="G52" s="24"/>
      <c r="H52" s="24"/>
    </row>
    <row r="53" spans="1:8" ht="15" customHeight="1" x14ac:dyDescent="0.3">
      <c r="A53" s="34" t="s">
        <v>258</v>
      </c>
      <c r="B53" s="35" t="s">
        <v>259</v>
      </c>
      <c r="C53" s="35" t="s">
        <v>216</v>
      </c>
      <c r="D53" s="34" t="s">
        <v>155</v>
      </c>
      <c r="E53" s="34">
        <v>4</v>
      </c>
      <c r="F53" s="34">
        <v>4</v>
      </c>
      <c r="G53" s="34"/>
      <c r="H53" s="34"/>
    </row>
    <row r="54" spans="1:8" ht="15" customHeight="1" x14ac:dyDescent="0.3">
      <c r="A54" s="24" t="s">
        <v>260</v>
      </c>
      <c r="B54" s="23" t="s">
        <v>261</v>
      </c>
      <c r="C54" s="23" t="s">
        <v>171</v>
      </c>
      <c r="D54" s="24" t="s">
        <v>155</v>
      </c>
      <c r="E54" s="24">
        <v>0</v>
      </c>
      <c r="F54" s="24">
        <v>4</v>
      </c>
      <c r="G54" s="24"/>
      <c r="H54" s="24"/>
    </row>
    <row r="55" spans="1:8" ht="15" customHeight="1" x14ac:dyDescent="0.3">
      <c r="A55" s="34" t="s">
        <v>262</v>
      </c>
      <c r="B55" s="35" t="s">
        <v>263</v>
      </c>
      <c r="C55" s="35" t="s">
        <v>216</v>
      </c>
      <c r="D55" s="34" t="s">
        <v>155</v>
      </c>
      <c r="E55" s="34">
        <v>3</v>
      </c>
      <c r="F55" s="34">
        <v>4</v>
      </c>
      <c r="G55" s="34"/>
      <c r="H55" s="34"/>
    </row>
    <row r="56" spans="1:8" ht="15" customHeight="1" x14ac:dyDescent="0.3">
      <c r="A56" s="24" t="s">
        <v>264</v>
      </c>
      <c r="B56" s="23" t="s">
        <v>265</v>
      </c>
      <c r="C56" s="23" t="s">
        <v>171</v>
      </c>
      <c r="D56" s="24" t="s">
        <v>155</v>
      </c>
      <c r="E56" s="24">
        <v>9</v>
      </c>
      <c r="F56" s="24">
        <v>6</v>
      </c>
      <c r="G56" s="24"/>
      <c r="H56" s="24"/>
    </row>
    <row r="57" spans="1:8" ht="15" customHeight="1" x14ac:dyDescent="0.3">
      <c r="A57" s="34" t="s">
        <v>266</v>
      </c>
      <c r="B57" s="35" t="s">
        <v>267</v>
      </c>
      <c r="C57" s="35" t="s">
        <v>171</v>
      </c>
      <c r="D57" s="34" t="s">
        <v>155</v>
      </c>
      <c r="E57" s="34">
        <v>0</v>
      </c>
      <c r="F57" s="34">
        <v>1</v>
      </c>
      <c r="G57" s="34"/>
      <c r="H57" s="34"/>
    </row>
    <row r="58" spans="1:8" ht="15" customHeight="1" x14ac:dyDescent="0.3">
      <c r="A58" s="24" t="s">
        <v>268</v>
      </c>
      <c r="B58" s="23" t="s">
        <v>269</v>
      </c>
      <c r="C58" s="23" t="s">
        <v>171</v>
      </c>
      <c r="D58" s="24" t="s">
        <v>155</v>
      </c>
      <c r="E58" s="24">
        <v>32</v>
      </c>
      <c r="F58" s="24">
        <v>10</v>
      </c>
      <c r="G58" s="24"/>
      <c r="H58" s="24"/>
    </row>
    <row r="59" spans="1:8" ht="15" customHeight="1" x14ac:dyDescent="0.3">
      <c r="A59" s="34" t="s">
        <v>270</v>
      </c>
      <c r="B59" s="35" t="s">
        <v>271</v>
      </c>
      <c r="C59" s="35" t="s">
        <v>188</v>
      </c>
      <c r="D59" s="34" t="s">
        <v>155</v>
      </c>
      <c r="E59" s="34">
        <v>3</v>
      </c>
      <c r="F59" s="34">
        <v>4</v>
      </c>
      <c r="G59" s="34"/>
      <c r="H59" s="34"/>
    </row>
    <row r="60" spans="1:8" ht="15" customHeight="1" x14ac:dyDescent="0.3">
      <c r="A60" s="24" t="s">
        <v>272</v>
      </c>
      <c r="B60" s="23" t="s">
        <v>273</v>
      </c>
      <c r="C60" s="23" t="s">
        <v>164</v>
      </c>
      <c r="D60" s="24" t="s">
        <v>155</v>
      </c>
      <c r="E60" s="24">
        <v>9</v>
      </c>
      <c r="F60" s="24">
        <v>8</v>
      </c>
      <c r="G60" s="24"/>
      <c r="H60" s="24"/>
    </row>
    <row r="61" spans="1:8" ht="15" customHeight="1" x14ac:dyDescent="0.3">
      <c r="A61" s="34" t="s">
        <v>126</v>
      </c>
      <c r="B61" s="35" t="s">
        <v>274</v>
      </c>
      <c r="C61" s="35" t="s">
        <v>158</v>
      </c>
      <c r="D61" s="34" t="s">
        <v>155</v>
      </c>
      <c r="E61" s="34">
        <v>2</v>
      </c>
      <c r="F61" s="34">
        <v>1</v>
      </c>
      <c r="G61" s="34"/>
      <c r="H61" s="34"/>
    </row>
    <row r="62" spans="1:8" ht="15" customHeight="1" x14ac:dyDescent="0.3">
      <c r="A62" s="24" t="s">
        <v>275</v>
      </c>
      <c r="B62" s="23" t="s">
        <v>276</v>
      </c>
      <c r="C62" s="23" t="s">
        <v>185</v>
      </c>
      <c r="D62" s="24" t="s">
        <v>155</v>
      </c>
      <c r="E62" s="24">
        <v>4</v>
      </c>
      <c r="F62" s="24">
        <v>4</v>
      </c>
      <c r="G62" s="24"/>
      <c r="H62" s="24"/>
    </row>
    <row r="63" spans="1:8" ht="15" customHeight="1" x14ac:dyDescent="0.3">
      <c r="A63" s="34" t="s">
        <v>277</v>
      </c>
      <c r="B63" s="35" t="s">
        <v>278</v>
      </c>
      <c r="C63" s="35" t="s">
        <v>188</v>
      </c>
      <c r="D63" s="34" t="s">
        <v>155</v>
      </c>
      <c r="E63" s="34">
        <v>5</v>
      </c>
      <c r="F63" s="34">
        <v>4</v>
      </c>
      <c r="G63" s="34"/>
      <c r="H63" s="34"/>
    </row>
    <row r="64" spans="1:8" ht="15" customHeight="1" x14ac:dyDescent="0.3">
      <c r="A64" s="24" t="s">
        <v>279</v>
      </c>
      <c r="B64" s="23" t="s">
        <v>280</v>
      </c>
      <c r="C64" s="23" t="s">
        <v>188</v>
      </c>
      <c r="D64" s="24" t="s">
        <v>155</v>
      </c>
      <c r="E64" s="24">
        <v>4</v>
      </c>
      <c r="F64" s="24">
        <v>3</v>
      </c>
      <c r="G64" s="24"/>
      <c r="H64" s="24"/>
    </row>
    <row r="65" spans="1:8" ht="15" customHeight="1" x14ac:dyDescent="0.3">
      <c r="A65" s="34" t="s">
        <v>281</v>
      </c>
      <c r="B65" s="35" t="s">
        <v>282</v>
      </c>
      <c r="C65" s="35" t="s">
        <v>158</v>
      </c>
      <c r="D65" s="34" t="s">
        <v>155</v>
      </c>
      <c r="E65" s="34">
        <v>5</v>
      </c>
      <c r="F65" s="34">
        <v>4</v>
      </c>
      <c r="G65" s="34"/>
      <c r="H65" s="34"/>
    </row>
    <row r="66" spans="1:8" ht="15" customHeight="1" x14ac:dyDescent="0.3">
      <c r="A66" s="24" t="s">
        <v>283</v>
      </c>
      <c r="B66" s="23" t="s">
        <v>284</v>
      </c>
      <c r="C66" s="23" t="s">
        <v>158</v>
      </c>
      <c r="D66" s="24" t="s">
        <v>155</v>
      </c>
      <c r="E66" s="24">
        <v>0</v>
      </c>
      <c r="F66" s="24">
        <v>3</v>
      </c>
      <c r="G66" s="24"/>
      <c r="H66" s="24"/>
    </row>
    <row r="67" spans="1:8" ht="15" customHeight="1" x14ac:dyDescent="0.3">
      <c r="A67" s="34" t="s">
        <v>285</v>
      </c>
      <c r="B67" s="35" t="s">
        <v>286</v>
      </c>
      <c r="C67" s="35" t="s">
        <v>216</v>
      </c>
      <c r="D67" s="34" t="s">
        <v>155</v>
      </c>
      <c r="E67" s="34">
        <v>6</v>
      </c>
      <c r="F67" s="34">
        <v>5</v>
      </c>
      <c r="G67" s="34"/>
      <c r="H67" s="34"/>
    </row>
    <row r="68" spans="1:8" ht="15" customHeight="1" x14ac:dyDescent="0.3">
      <c r="A68" s="24" t="s">
        <v>287</v>
      </c>
      <c r="B68" s="23" t="s">
        <v>288</v>
      </c>
      <c r="C68" s="23" t="s">
        <v>188</v>
      </c>
      <c r="D68" s="24" t="s">
        <v>155</v>
      </c>
      <c r="E68" s="24">
        <v>3</v>
      </c>
      <c r="F68" s="24">
        <v>4</v>
      </c>
      <c r="G68" s="24"/>
      <c r="H68" s="24"/>
    </row>
    <row r="69" spans="1:8" ht="15" customHeight="1" x14ac:dyDescent="0.3">
      <c r="A69" s="34" t="s">
        <v>289</v>
      </c>
      <c r="B69" s="35" t="s">
        <v>290</v>
      </c>
      <c r="C69" s="35" t="s">
        <v>171</v>
      </c>
      <c r="D69" s="34" t="s">
        <v>155</v>
      </c>
      <c r="E69" s="34">
        <v>2</v>
      </c>
      <c r="F69" s="34">
        <v>4</v>
      </c>
      <c r="G69" s="34"/>
      <c r="H69" s="34"/>
    </row>
    <row r="70" spans="1:8" ht="15" customHeight="1" x14ac:dyDescent="0.3">
      <c r="A70" s="24" t="s">
        <v>291</v>
      </c>
      <c r="B70" s="23" t="s">
        <v>292</v>
      </c>
      <c r="C70" s="23" t="s">
        <v>158</v>
      </c>
      <c r="D70" s="24" t="s">
        <v>155</v>
      </c>
      <c r="E70" s="24">
        <v>4</v>
      </c>
      <c r="F70" s="24">
        <v>5</v>
      </c>
      <c r="G70" s="24"/>
      <c r="H70" s="24"/>
    </row>
    <row r="71" spans="1:8" ht="15" customHeight="1" x14ac:dyDescent="0.3">
      <c r="A71" s="34" t="s">
        <v>293</v>
      </c>
      <c r="B71" s="35" t="s">
        <v>294</v>
      </c>
      <c r="C71" s="35" t="s">
        <v>216</v>
      </c>
      <c r="D71" s="34" t="s">
        <v>155</v>
      </c>
      <c r="E71" s="34">
        <v>3</v>
      </c>
      <c r="F71" s="34">
        <v>4</v>
      </c>
      <c r="G71" s="34"/>
      <c r="H71" s="34"/>
    </row>
    <row r="72" spans="1:8" ht="15" customHeight="1" x14ac:dyDescent="0.3">
      <c r="A72" s="24" t="s">
        <v>295</v>
      </c>
      <c r="B72" s="23" t="s">
        <v>296</v>
      </c>
      <c r="C72" s="23" t="s">
        <v>188</v>
      </c>
      <c r="D72" s="24" t="s">
        <v>155</v>
      </c>
      <c r="E72" s="24">
        <v>1</v>
      </c>
      <c r="F72" s="24">
        <v>3</v>
      </c>
      <c r="G72" s="24"/>
      <c r="H72" s="24"/>
    </row>
    <row r="73" spans="1:8" ht="15" customHeight="1" x14ac:dyDescent="0.3">
      <c r="A73" s="34" t="s">
        <v>297</v>
      </c>
      <c r="B73" s="35" t="s">
        <v>298</v>
      </c>
      <c r="C73" s="35" t="s">
        <v>198</v>
      </c>
      <c r="D73" s="34" t="s">
        <v>155</v>
      </c>
      <c r="E73" s="34">
        <v>14</v>
      </c>
      <c r="F73" s="34">
        <v>6</v>
      </c>
      <c r="G73" s="34"/>
      <c r="H73" s="34"/>
    </row>
    <row r="74" spans="1:8" ht="15" customHeight="1" x14ac:dyDescent="0.3">
      <c r="A74" s="24" t="s">
        <v>299</v>
      </c>
      <c r="B74" s="23" t="s">
        <v>300</v>
      </c>
      <c r="C74" s="23" t="s">
        <v>216</v>
      </c>
      <c r="D74" s="24" t="s">
        <v>155</v>
      </c>
      <c r="E74" s="24">
        <v>2</v>
      </c>
      <c r="F74" s="24">
        <v>4</v>
      </c>
      <c r="G74" s="24"/>
      <c r="H74" s="24"/>
    </row>
    <row r="75" spans="1:8" ht="15" customHeight="1" x14ac:dyDescent="0.3">
      <c r="A75" s="34" t="s">
        <v>301</v>
      </c>
      <c r="B75" s="35" t="s">
        <v>302</v>
      </c>
      <c r="C75" s="35" t="s">
        <v>188</v>
      </c>
      <c r="D75" s="34" t="s">
        <v>155</v>
      </c>
      <c r="E75" s="34">
        <v>3</v>
      </c>
      <c r="F75" s="34">
        <v>4</v>
      </c>
      <c r="G75" s="34"/>
      <c r="H75" s="34"/>
    </row>
    <row r="76" spans="1:8" ht="15" customHeight="1" x14ac:dyDescent="0.3">
      <c r="A76" s="24" t="s">
        <v>303</v>
      </c>
      <c r="B76" s="23" t="s">
        <v>304</v>
      </c>
      <c r="C76" s="23" t="s">
        <v>216</v>
      </c>
      <c r="D76" s="24" t="s">
        <v>155</v>
      </c>
      <c r="E76" s="24">
        <v>11</v>
      </c>
      <c r="F76" s="24">
        <v>5</v>
      </c>
      <c r="G76" s="24"/>
      <c r="H76" s="24"/>
    </row>
    <row r="77" spans="1:8" ht="15" customHeight="1" x14ac:dyDescent="0.3">
      <c r="A77" s="34" t="s">
        <v>305</v>
      </c>
      <c r="B77" s="35" t="s">
        <v>306</v>
      </c>
      <c r="C77" s="35" t="s">
        <v>216</v>
      </c>
      <c r="D77" s="34" t="s">
        <v>155</v>
      </c>
      <c r="E77" s="34">
        <v>5</v>
      </c>
      <c r="F77" s="34">
        <v>5</v>
      </c>
      <c r="G77" s="34"/>
      <c r="H77" s="34"/>
    </row>
    <row r="78" spans="1:8" ht="15" customHeight="1" x14ac:dyDescent="0.3">
      <c r="A78" s="24" t="s">
        <v>307</v>
      </c>
      <c r="B78" s="23" t="s">
        <v>308</v>
      </c>
      <c r="C78" s="23" t="s">
        <v>309</v>
      </c>
      <c r="D78" s="24" t="s">
        <v>155</v>
      </c>
      <c r="E78" s="24">
        <v>103</v>
      </c>
      <c r="F78" s="24">
        <v>11</v>
      </c>
      <c r="G78" s="24"/>
      <c r="H78" s="24"/>
    </row>
    <row r="79" spans="1:8" ht="15" customHeight="1" x14ac:dyDescent="0.3">
      <c r="A79" s="34" t="s">
        <v>310</v>
      </c>
      <c r="B79" s="35" t="s">
        <v>311</v>
      </c>
      <c r="C79" s="35" t="s">
        <v>171</v>
      </c>
      <c r="D79" s="34" t="s">
        <v>155</v>
      </c>
      <c r="E79" s="34">
        <v>3</v>
      </c>
      <c r="F79" s="34">
        <v>5</v>
      </c>
      <c r="G79" s="34"/>
      <c r="H79" s="34"/>
    </row>
    <row r="80" spans="1:8" ht="15" customHeight="1" x14ac:dyDescent="0.3">
      <c r="A80" s="24" t="s">
        <v>312</v>
      </c>
      <c r="B80" s="23" t="s">
        <v>313</v>
      </c>
      <c r="C80" s="23" t="s">
        <v>216</v>
      </c>
      <c r="D80" s="24" t="s">
        <v>155</v>
      </c>
      <c r="E80" s="24">
        <v>4</v>
      </c>
      <c r="F80" s="24">
        <v>4</v>
      </c>
      <c r="G80" s="24"/>
      <c r="H80" s="24"/>
    </row>
    <row r="81" spans="1:8" ht="15" customHeight="1" x14ac:dyDescent="0.3">
      <c r="A81" s="34" t="s">
        <v>314</v>
      </c>
      <c r="B81" s="35" t="s">
        <v>315</v>
      </c>
      <c r="C81" s="35" t="s">
        <v>188</v>
      </c>
      <c r="D81" s="34" t="s">
        <v>155</v>
      </c>
      <c r="E81" s="34">
        <v>4</v>
      </c>
      <c r="F81" s="34">
        <v>5</v>
      </c>
      <c r="G81" s="34"/>
      <c r="H81" s="34"/>
    </row>
    <row r="82" spans="1:8" ht="15" customHeight="1" x14ac:dyDescent="0.3">
      <c r="A82" s="24" t="s">
        <v>316</v>
      </c>
      <c r="B82" s="23" t="s">
        <v>317</v>
      </c>
      <c r="C82" s="23" t="s">
        <v>158</v>
      </c>
      <c r="D82" s="24" t="s">
        <v>155</v>
      </c>
      <c r="E82" s="24">
        <v>113</v>
      </c>
      <c r="F82" s="24">
        <v>11</v>
      </c>
      <c r="G82" s="24"/>
      <c r="H82" s="24"/>
    </row>
    <row r="83" spans="1:8" ht="15" customHeight="1" x14ac:dyDescent="0.3">
      <c r="A83" s="34" t="s">
        <v>318</v>
      </c>
      <c r="B83" s="35" t="s">
        <v>319</v>
      </c>
      <c r="C83" s="35" t="s">
        <v>216</v>
      </c>
      <c r="D83" s="34" t="s">
        <v>155</v>
      </c>
      <c r="E83" s="34">
        <v>4</v>
      </c>
      <c r="F83" s="34">
        <v>5</v>
      </c>
      <c r="G83" s="34"/>
      <c r="H83" s="34"/>
    </row>
    <row r="84" spans="1:8" ht="15" customHeight="1" x14ac:dyDescent="0.3">
      <c r="A84" s="24" t="s">
        <v>320</v>
      </c>
      <c r="B84" s="23" t="s">
        <v>321</v>
      </c>
      <c r="C84" s="23" t="s">
        <v>225</v>
      </c>
      <c r="D84" s="24" t="s">
        <v>155</v>
      </c>
      <c r="E84" s="24">
        <v>6</v>
      </c>
      <c r="F84" s="24">
        <v>5</v>
      </c>
      <c r="G84" s="24"/>
      <c r="H84" s="24"/>
    </row>
    <row r="85" spans="1:8" ht="15" customHeight="1" x14ac:dyDescent="0.3">
      <c r="A85" s="34" t="s">
        <v>52</v>
      </c>
      <c r="B85" s="35" t="s">
        <v>322</v>
      </c>
      <c r="C85" s="35" t="s">
        <v>158</v>
      </c>
      <c r="D85" s="34" t="s">
        <v>155</v>
      </c>
      <c r="E85" s="34">
        <v>2265</v>
      </c>
      <c r="F85" s="34">
        <v>13</v>
      </c>
      <c r="G85" s="34">
        <v>2064</v>
      </c>
      <c r="H85" s="34">
        <v>78</v>
      </c>
    </row>
    <row r="86" spans="1:8" ht="15" customHeight="1" x14ac:dyDescent="0.3">
      <c r="A86" s="24" t="s">
        <v>323</v>
      </c>
      <c r="B86" s="23" t="s">
        <v>324</v>
      </c>
      <c r="C86" s="23" t="s">
        <v>309</v>
      </c>
      <c r="D86" s="24" t="s">
        <v>155</v>
      </c>
      <c r="E86" s="24">
        <v>1628</v>
      </c>
      <c r="F86" s="24">
        <v>13</v>
      </c>
      <c r="G86" s="24"/>
      <c r="H86" s="24"/>
    </row>
    <row r="87" spans="1:8" ht="15" customHeight="1" x14ac:dyDescent="0.3">
      <c r="A87" s="34" t="s">
        <v>325</v>
      </c>
      <c r="B87" s="35" t="s">
        <v>326</v>
      </c>
      <c r="C87" s="35" t="s">
        <v>225</v>
      </c>
      <c r="D87" s="34" t="s">
        <v>155</v>
      </c>
      <c r="E87" s="34">
        <v>0</v>
      </c>
      <c r="F87" s="34">
        <v>1</v>
      </c>
      <c r="G87" s="34"/>
      <c r="H87" s="34"/>
    </row>
    <row r="88" spans="1:8" ht="15" customHeight="1" x14ac:dyDescent="0.3">
      <c r="A88" s="24" t="s">
        <v>76</v>
      </c>
      <c r="B88" s="23" t="s">
        <v>327</v>
      </c>
      <c r="C88" s="23" t="s">
        <v>216</v>
      </c>
      <c r="D88" s="24" t="s">
        <v>155</v>
      </c>
      <c r="E88" s="24">
        <v>12</v>
      </c>
      <c r="F88" s="24">
        <v>6</v>
      </c>
      <c r="G88" s="24"/>
      <c r="H88" s="24"/>
    </row>
    <row r="89" spans="1:8" ht="15" customHeight="1" x14ac:dyDescent="0.3">
      <c r="A89" s="34" t="s">
        <v>328</v>
      </c>
      <c r="B89" s="35" t="s">
        <v>329</v>
      </c>
      <c r="C89" s="35" t="s">
        <v>213</v>
      </c>
      <c r="D89" s="34" t="s">
        <v>155</v>
      </c>
      <c r="E89" s="34">
        <v>0</v>
      </c>
      <c r="F89" s="34">
        <v>3</v>
      </c>
      <c r="G89" s="34"/>
      <c r="H89" s="34"/>
    </row>
    <row r="90" spans="1:8" ht="15" customHeight="1" x14ac:dyDescent="0.3">
      <c r="A90" s="24" t="s">
        <v>330</v>
      </c>
      <c r="B90" s="23" t="s">
        <v>331</v>
      </c>
      <c r="C90" s="23" t="s">
        <v>171</v>
      </c>
      <c r="D90" s="24" t="s">
        <v>155</v>
      </c>
      <c r="E90" s="24">
        <v>7</v>
      </c>
      <c r="F90" s="24">
        <v>5</v>
      </c>
      <c r="G90" s="24"/>
      <c r="H90" s="24"/>
    </row>
    <row r="91" spans="1:8" ht="15" customHeight="1" x14ac:dyDescent="0.3">
      <c r="A91" s="34" t="s">
        <v>332</v>
      </c>
      <c r="B91" s="35" t="s">
        <v>333</v>
      </c>
      <c r="C91" s="35" t="s">
        <v>225</v>
      </c>
      <c r="D91" s="34" t="s">
        <v>155</v>
      </c>
      <c r="E91" s="34">
        <v>6</v>
      </c>
      <c r="F91" s="34">
        <v>5</v>
      </c>
      <c r="G91" s="34"/>
      <c r="H91" s="34"/>
    </row>
    <row r="92" spans="1:8" ht="15" customHeight="1" x14ac:dyDescent="0.3">
      <c r="A92" s="24" t="s">
        <v>334</v>
      </c>
      <c r="B92" s="23" t="s">
        <v>335</v>
      </c>
      <c r="C92" s="23" t="s">
        <v>185</v>
      </c>
      <c r="D92" s="24" t="s">
        <v>155</v>
      </c>
      <c r="E92" s="24">
        <v>9</v>
      </c>
      <c r="F92" s="24">
        <v>8</v>
      </c>
      <c r="G92" s="24"/>
      <c r="H92" s="24"/>
    </row>
    <row r="93" spans="1:8" ht="15" customHeight="1" x14ac:dyDescent="0.3">
      <c r="A93" s="34" t="s">
        <v>336</v>
      </c>
      <c r="B93" s="35" t="s">
        <v>337</v>
      </c>
      <c r="C93" s="35" t="s">
        <v>216</v>
      </c>
      <c r="D93" s="34" t="s">
        <v>155</v>
      </c>
      <c r="E93" s="34">
        <v>0</v>
      </c>
      <c r="F93" s="34">
        <v>4</v>
      </c>
      <c r="G93" s="34"/>
      <c r="H93" s="34"/>
    </row>
    <row r="94" spans="1:8" ht="15" customHeight="1" x14ac:dyDescent="0.3">
      <c r="A94" s="24" t="s">
        <v>338</v>
      </c>
      <c r="B94" s="23" t="s">
        <v>339</v>
      </c>
      <c r="C94" s="23" t="s">
        <v>225</v>
      </c>
      <c r="D94" s="24" t="s">
        <v>155</v>
      </c>
      <c r="E94" s="24">
        <v>7</v>
      </c>
      <c r="F94" s="24">
        <v>5</v>
      </c>
      <c r="G94" s="24"/>
      <c r="H94" s="24"/>
    </row>
    <row r="95" spans="1:8" ht="15" customHeight="1" x14ac:dyDescent="0.3">
      <c r="A95" s="34" t="s">
        <v>340</v>
      </c>
      <c r="B95" s="35" t="s">
        <v>341</v>
      </c>
      <c r="C95" s="35" t="s">
        <v>164</v>
      </c>
      <c r="D95" s="34" t="s">
        <v>155</v>
      </c>
      <c r="E95" s="34">
        <v>1</v>
      </c>
      <c r="F95" s="34">
        <v>10</v>
      </c>
      <c r="G95" s="34"/>
      <c r="H95" s="34"/>
    </row>
    <row r="96" spans="1:8" ht="15" customHeight="1" x14ac:dyDescent="0.3">
      <c r="A96" s="24" t="s">
        <v>342</v>
      </c>
      <c r="B96" s="23" t="s">
        <v>343</v>
      </c>
      <c r="C96" s="23" t="s">
        <v>225</v>
      </c>
      <c r="D96" s="24" t="s">
        <v>155</v>
      </c>
      <c r="E96" s="24">
        <v>4</v>
      </c>
      <c r="F96" s="24">
        <v>5</v>
      </c>
      <c r="G96" s="24"/>
      <c r="H96" s="24"/>
    </row>
    <row r="97" spans="1:8" ht="15" customHeight="1" x14ac:dyDescent="0.3">
      <c r="A97" s="34" t="s">
        <v>344</v>
      </c>
      <c r="B97" s="35" t="s">
        <v>345</v>
      </c>
      <c r="C97" s="35" t="s">
        <v>198</v>
      </c>
      <c r="D97" s="34" t="s">
        <v>155</v>
      </c>
      <c r="E97" s="34">
        <v>0</v>
      </c>
      <c r="F97" s="34">
        <v>4</v>
      </c>
      <c r="G97" s="34"/>
      <c r="H97" s="34"/>
    </row>
    <row r="98" spans="1:8" ht="15" customHeight="1" x14ac:dyDescent="0.3">
      <c r="A98" s="24" t="s">
        <v>346</v>
      </c>
      <c r="B98" s="23" t="s">
        <v>347</v>
      </c>
      <c r="C98" s="23" t="s">
        <v>225</v>
      </c>
      <c r="D98" s="24" t="s">
        <v>155</v>
      </c>
      <c r="E98" s="24">
        <v>0</v>
      </c>
      <c r="F98" s="24">
        <v>4</v>
      </c>
      <c r="G98" s="24"/>
      <c r="H98" s="24"/>
    </row>
    <row r="99" spans="1:8" ht="15" customHeight="1" x14ac:dyDescent="0.3">
      <c r="A99" s="34" t="s">
        <v>348</v>
      </c>
      <c r="B99" s="35" t="s">
        <v>349</v>
      </c>
      <c r="C99" s="35" t="s">
        <v>171</v>
      </c>
      <c r="D99" s="34" t="s">
        <v>155</v>
      </c>
      <c r="E99" s="34">
        <v>5</v>
      </c>
      <c r="F99" s="34">
        <v>5</v>
      </c>
      <c r="G99" s="34"/>
      <c r="H99" s="34"/>
    </row>
    <row r="100" spans="1:8" ht="15" customHeight="1" x14ac:dyDescent="0.3">
      <c r="A100" s="24" t="s">
        <v>350</v>
      </c>
      <c r="B100" s="23" t="s">
        <v>351</v>
      </c>
      <c r="C100" s="23" t="s">
        <v>225</v>
      </c>
      <c r="D100" s="24" t="s">
        <v>155</v>
      </c>
      <c r="E100" s="24">
        <v>6</v>
      </c>
      <c r="F100" s="24">
        <v>5</v>
      </c>
      <c r="G100" s="24"/>
      <c r="H100" s="24"/>
    </row>
    <row r="101" spans="1:8" ht="15" customHeight="1" x14ac:dyDescent="0.3">
      <c r="A101" s="34" t="s">
        <v>352</v>
      </c>
      <c r="B101" s="35" t="s">
        <v>353</v>
      </c>
      <c r="C101" s="35" t="s">
        <v>216</v>
      </c>
      <c r="D101" s="34" t="s">
        <v>155</v>
      </c>
      <c r="E101" s="34">
        <v>3</v>
      </c>
      <c r="F101" s="34">
        <v>4</v>
      </c>
      <c r="G101" s="34"/>
      <c r="H101" s="34"/>
    </row>
    <row r="102" spans="1:8" ht="15" customHeight="1" x14ac:dyDescent="0.3">
      <c r="A102" s="24" t="s">
        <v>354</v>
      </c>
      <c r="B102" s="23" t="s">
        <v>355</v>
      </c>
      <c r="C102" s="23" t="s">
        <v>225</v>
      </c>
      <c r="D102" s="24" t="s">
        <v>155</v>
      </c>
      <c r="E102" s="24">
        <v>0</v>
      </c>
      <c r="F102" s="24">
        <v>5</v>
      </c>
      <c r="G102" s="24"/>
      <c r="H102" s="24"/>
    </row>
    <row r="103" spans="1:8" ht="15" customHeight="1" x14ac:dyDescent="0.3">
      <c r="A103" s="34" t="s">
        <v>356</v>
      </c>
      <c r="B103" s="35" t="s">
        <v>357</v>
      </c>
      <c r="C103" s="35" t="s">
        <v>225</v>
      </c>
      <c r="D103" s="34" t="s">
        <v>155</v>
      </c>
      <c r="E103" s="34">
        <v>4</v>
      </c>
      <c r="F103" s="34">
        <v>4</v>
      </c>
      <c r="G103" s="34"/>
      <c r="H103" s="34"/>
    </row>
    <row r="104" spans="1:8" ht="15" customHeight="1" x14ac:dyDescent="0.3">
      <c r="A104" s="24" t="s">
        <v>358</v>
      </c>
      <c r="B104" s="23" t="s">
        <v>359</v>
      </c>
      <c r="C104" s="23" t="s">
        <v>216</v>
      </c>
      <c r="D104" s="24" t="s">
        <v>155</v>
      </c>
      <c r="E104" s="24">
        <v>3</v>
      </c>
      <c r="F104" s="24">
        <v>4</v>
      </c>
      <c r="G104" s="24"/>
      <c r="H104" s="24"/>
    </row>
    <row r="105" spans="1:8" ht="15" customHeight="1" x14ac:dyDescent="0.3">
      <c r="A105" s="34" t="s">
        <v>360</v>
      </c>
      <c r="B105" s="35" t="s">
        <v>361</v>
      </c>
      <c r="C105" s="35" t="s">
        <v>188</v>
      </c>
      <c r="D105" s="34" t="s">
        <v>155</v>
      </c>
      <c r="E105" s="34">
        <v>6</v>
      </c>
      <c r="F105" s="34">
        <v>4</v>
      </c>
      <c r="G105" s="34"/>
      <c r="H105" s="34"/>
    </row>
    <row r="106" spans="1:8" ht="15" customHeight="1" x14ac:dyDescent="0.3">
      <c r="A106" s="24" t="s">
        <v>362</v>
      </c>
      <c r="B106" s="23" t="s">
        <v>363</v>
      </c>
      <c r="C106" s="23" t="s">
        <v>171</v>
      </c>
      <c r="D106" s="24" t="s">
        <v>155</v>
      </c>
      <c r="E106" s="24">
        <v>4</v>
      </c>
      <c r="F106" s="24">
        <v>5</v>
      </c>
      <c r="G106" s="24"/>
      <c r="H106" s="24"/>
    </row>
    <row r="107" spans="1:8" ht="15" customHeight="1" x14ac:dyDescent="0.3">
      <c r="A107" s="34" t="s">
        <v>364</v>
      </c>
      <c r="B107" s="35" t="s">
        <v>365</v>
      </c>
      <c r="C107" s="35" t="s">
        <v>216</v>
      </c>
      <c r="D107" s="34" t="s">
        <v>155</v>
      </c>
      <c r="E107" s="34">
        <v>0</v>
      </c>
      <c r="F107" s="34">
        <v>2</v>
      </c>
      <c r="G107" s="34"/>
      <c r="H107" s="34"/>
    </row>
    <row r="108" spans="1:8" ht="15" customHeight="1" x14ac:dyDescent="0.3">
      <c r="A108" s="24" t="s">
        <v>366</v>
      </c>
      <c r="B108" s="23" t="s">
        <v>367</v>
      </c>
      <c r="C108" s="23" t="s">
        <v>171</v>
      </c>
      <c r="D108" s="24" t="s">
        <v>155</v>
      </c>
      <c r="E108" s="24">
        <v>3</v>
      </c>
      <c r="F108" s="24">
        <v>4</v>
      </c>
      <c r="G108" s="24"/>
      <c r="H108" s="24"/>
    </row>
    <row r="109" spans="1:8" ht="15" customHeight="1" x14ac:dyDescent="0.3">
      <c r="A109" s="34" t="s">
        <v>368</v>
      </c>
      <c r="B109" s="35" t="s">
        <v>369</v>
      </c>
      <c r="C109" s="35" t="s">
        <v>216</v>
      </c>
      <c r="D109" s="34" t="s">
        <v>155</v>
      </c>
      <c r="E109" s="34">
        <v>0</v>
      </c>
      <c r="F109" s="34">
        <v>4</v>
      </c>
      <c r="G109" s="34"/>
      <c r="H109" s="34"/>
    </row>
    <row r="110" spans="1:8" ht="15" customHeight="1" x14ac:dyDescent="0.3">
      <c r="A110" s="24" t="s">
        <v>370</v>
      </c>
      <c r="B110" s="23" t="s">
        <v>371</v>
      </c>
      <c r="C110" s="23" t="s">
        <v>171</v>
      </c>
      <c r="D110" s="24" t="s">
        <v>155</v>
      </c>
      <c r="E110" s="24">
        <v>0</v>
      </c>
      <c r="F110" s="24">
        <v>3</v>
      </c>
      <c r="G110" s="24"/>
      <c r="H110" s="24"/>
    </row>
    <row r="111" spans="1:8" ht="15" customHeight="1" x14ac:dyDescent="0.3">
      <c r="A111" s="34" t="s">
        <v>372</v>
      </c>
      <c r="B111" s="35" t="s">
        <v>373</v>
      </c>
      <c r="C111" s="35" t="s">
        <v>225</v>
      </c>
      <c r="D111" s="34" t="s">
        <v>155</v>
      </c>
      <c r="E111" s="34">
        <v>4</v>
      </c>
      <c r="F111" s="34">
        <v>4</v>
      </c>
      <c r="G111" s="34"/>
      <c r="H111" s="34"/>
    </row>
    <row r="112" spans="1:8" ht="15" customHeight="1" x14ac:dyDescent="0.3">
      <c r="A112" s="24" t="s">
        <v>374</v>
      </c>
      <c r="B112" s="23" t="s">
        <v>375</v>
      </c>
      <c r="C112" s="23" t="s">
        <v>225</v>
      </c>
      <c r="D112" s="24" t="s">
        <v>155</v>
      </c>
      <c r="E112" s="24">
        <v>5</v>
      </c>
      <c r="F112" s="24">
        <v>5</v>
      </c>
      <c r="G112" s="24"/>
      <c r="H112" s="24"/>
    </row>
    <row r="113" spans="1:8" ht="15" customHeight="1" x14ac:dyDescent="0.3">
      <c r="A113" s="34" t="s">
        <v>376</v>
      </c>
      <c r="B113" s="35" t="s">
        <v>377</v>
      </c>
      <c r="C113" s="35" t="s">
        <v>171</v>
      </c>
      <c r="D113" s="34" t="s">
        <v>155</v>
      </c>
      <c r="E113" s="34">
        <v>3</v>
      </c>
      <c r="F113" s="34">
        <v>4</v>
      </c>
      <c r="G113" s="34"/>
      <c r="H113" s="34"/>
    </row>
    <row r="114" spans="1:8" ht="15" customHeight="1" x14ac:dyDescent="0.3">
      <c r="A114" s="24" t="s">
        <v>378</v>
      </c>
      <c r="B114" s="23" t="s">
        <v>379</v>
      </c>
      <c r="C114" s="23" t="s">
        <v>216</v>
      </c>
      <c r="D114" s="24" t="s">
        <v>155</v>
      </c>
      <c r="E114" s="24">
        <v>0</v>
      </c>
      <c r="F114" s="24">
        <v>4</v>
      </c>
      <c r="G114" s="24"/>
      <c r="H114" s="24"/>
    </row>
    <row r="115" spans="1:8" ht="15" customHeight="1" x14ac:dyDescent="0.3">
      <c r="A115" s="34" t="s">
        <v>380</v>
      </c>
      <c r="B115" s="35" t="s">
        <v>381</v>
      </c>
      <c r="C115" s="35" t="s">
        <v>171</v>
      </c>
      <c r="D115" s="34" t="s">
        <v>155</v>
      </c>
      <c r="E115" s="34">
        <v>3</v>
      </c>
      <c r="F115" s="34">
        <v>5</v>
      </c>
      <c r="G115" s="34"/>
      <c r="H115" s="34"/>
    </row>
    <row r="116" spans="1:8" ht="15" customHeight="1" x14ac:dyDescent="0.3">
      <c r="A116" s="24" t="s">
        <v>382</v>
      </c>
      <c r="B116" s="23" t="s">
        <v>383</v>
      </c>
      <c r="C116" s="23" t="s">
        <v>171</v>
      </c>
      <c r="D116" s="24" t="s">
        <v>155</v>
      </c>
      <c r="E116" s="24">
        <v>3</v>
      </c>
      <c r="F116" s="24">
        <v>5</v>
      </c>
      <c r="G116" s="24"/>
      <c r="H116" s="24"/>
    </row>
    <row r="117" spans="1:8" ht="15" customHeight="1" x14ac:dyDescent="0.3">
      <c r="A117" s="34" t="s">
        <v>384</v>
      </c>
      <c r="B117" s="35" t="s">
        <v>385</v>
      </c>
      <c r="C117" s="35" t="s">
        <v>171</v>
      </c>
      <c r="D117" s="34" t="s">
        <v>155</v>
      </c>
      <c r="E117" s="34">
        <v>13</v>
      </c>
      <c r="F117" s="34">
        <v>6</v>
      </c>
      <c r="G117" s="34"/>
      <c r="H117" s="34"/>
    </row>
    <row r="118" spans="1:8" ht="15" customHeight="1" x14ac:dyDescent="0.3">
      <c r="A118" s="24" t="s">
        <v>386</v>
      </c>
      <c r="B118" s="23" t="s">
        <v>387</v>
      </c>
      <c r="C118" s="23" t="s">
        <v>225</v>
      </c>
      <c r="D118" s="24" t="s">
        <v>155</v>
      </c>
      <c r="E118" s="24">
        <v>6</v>
      </c>
      <c r="F118" s="24">
        <v>5</v>
      </c>
      <c r="G118" s="24"/>
      <c r="H118" s="24"/>
    </row>
    <row r="119" spans="1:8" ht="15" customHeight="1" x14ac:dyDescent="0.3">
      <c r="A119" s="34" t="s">
        <v>388</v>
      </c>
      <c r="B119" s="35" t="s">
        <v>389</v>
      </c>
      <c r="C119" s="35" t="s">
        <v>216</v>
      </c>
      <c r="D119" s="34" t="s">
        <v>155</v>
      </c>
      <c r="E119" s="34">
        <v>10</v>
      </c>
      <c r="F119" s="34">
        <v>6</v>
      </c>
      <c r="G119" s="34"/>
      <c r="H119" s="34"/>
    </row>
    <row r="120" spans="1:8" ht="15" customHeight="1" x14ac:dyDescent="0.3">
      <c r="A120" s="24" t="s">
        <v>390</v>
      </c>
      <c r="B120" s="23" t="s">
        <v>391</v>
      </c>
      <c r="C120" s="23" t="s">
        <v>171</v>
      </c>
      <c r="D120" s="24" t="s">
        <v>155</v>
      </c>
      <c r="E120" s="24">
        <v>4</v>
      </c>
      <c r="F120" s="24">
        <v>5</v>
      </c>
      <c r="G120" s="24"/>
      <c r="H120" s="24"/>
    </row>
    <row r="121" spans="1:8" ht="15" customHeight="1" x14ac:dyDescent="0.3">
      <c r="A121" s="34" t="s">
        <v>392</v>
      </c>
      <c r="B121" s="35" t="s">
        <v>393</v>
      </c>
      <c r="C121" s="35" t="s">
        <v>158</v>
      </c>
      <c r="D121" s="34" t="s">
        <v>155</v>
      </c>
      <c r="E121" s="34">
        <v>6</v>
      </c>
      <c r="F121" s="34">
        <v>6</v>
      </c>
      <c r="G121" s="34"/>
      <c r="H121" s="34"/>
    </row>
    <row r="122" spans="1:8" ht="15" customHeight="1" x14ac:dyDescent="0.3">
      <c r="A122" s="24" t="s">
        <v>394</v>
      </c>
      <c r="B122" s="23" t="s">
        <v>395</v>
      </c>
      <c r="C122" s="23" t="s">
        <v>216</v>
      </c>
      <c r="D122" s="24" t="s">
        <v>155</v>
      </c>
      <c r="E122" s="24">
        <v>17</v>
      </c>
      <c r="F122" s="24">
        <v>7</v>
      </c>
      <c r="G122" s="24"/>
      <c r="H122" s="24"/>
    </row>
    <row r="123" spans="1:8" ht="15" customHeight="1" x14ac:dyDescent="0.3">
      <c r="A123" s="34" t="s">
        <v>396</v>
      </c>
      <c r="B123" s="35" t="s">
        <v>397</v>
      </c>
      <c r="C123" s="35" t="s">
        <v>225</v>
      </c>
      <c r="D123" s="34" t="s">
        <v>155</v>
      </c>
      <c r="E123" s="34">
        <v>7</v>
      </c>
      <c r="F123" s="34">
        <v>6</v>
      </c>
      <c r="G123" s="34"/>
      <c r="H123" s="34"/>
    </row>
    <row r="124" spans="1:8" ht="15" customHeight="1" x14ac:dyDescent="0.3">
      <c r="A124" s="24" t="s">
        <v>398</v>
      </c>
      <c r="B124" s="23" t="s">
        <v>399</v>
      </c>
      <c r="C124" s="23" t="s">
        <v>225</v>
      </c>
      <c r="D124" s="24" t="s">
        <v>155</v>
      </c>
      <c r="E124" s="24">
        <v>6</v>
      </c>
      <c r="F124" s="24">
        <v>5</v>
      </c>
      <c r="G124" s="24"/>
      <c r="H124" s="24"/>
    </row>
    <row r="125" spans="1:8" ht="15" customHeight="1" x14ac:dyDescent="0.3">
      <c r="A125" s="34" t="s">
        <v>400</v>
      </c>
      <c r="B125" s="35" t="s">
        <v>401</v>
      </c>
      <c r="C125" s="35" t="s">
        <v>158</v>
      </c>
      <c r="D125" s="34" t="s">
        <v>155</v>
      </c>
      <c r="E125" s="34">
        <v>5</v>
      </c>
      <c r="F125" s="34">
        <v>5</v>
      </c>
      <c r="G125" s="34"/>
      <c r="H125" s="34"/>
    </row>
    <row r="126" spans="1:8" ht="15" customHeight="1" x14ac:dyDescent="0.3">
      <c r="A126" s="24" t="s">
        <v>402</v>
      </c>
      <c r="B126" s="23" t="s">
        <v>403</v>
      </c>
      <c r="C126" s="23" t="s">
        <v>216</v>
      </c>
      <c r="D126" s="24" t="s">
        <v>155</v>
      </c>
      <c r="E126" s="24">
        <v>3</v>
      </c>
      <c r="F126" s="24">
        <v>4</v>
      </c>
      <c r="G126" s="24"/>
      <c r="H126" s="24"/>
    </row>
    <row r="127" spans="1:8" ht="15" customHeight="1" x14ac:dyDescent="0.3">
      <c r="A127" s="34" t="s">
        <v>404</v>
      </c>
      <c r="B127" s="35" t="s">
        <v>405</v>
      </c>
      <c r="C127" s="35" t="s">
        <v>158</v>
      </c>
      <c r="D127" s="34" t="s">
        <v>155</v>
      </c>
      <c r="E127" s="34">
        <v>6</v>
      </c>
      <c r="F127" s="34">
        <v>6</v>
      </c>
      <c r="G127" s="34"/>
      <c r="H127" s="34"/>
    </row>
    <row r="128" spans="1:8" ht="15" customHeight="1" x14ac:dyDescent="0.3">
      <c r="A128" s="24" t="s">
        <v>406</v>
      </c>
      <c r="B128" s="23" t="s">
        <v>407</v>
      </c>
      <c r="C128" s="23" t="s">
        <v>225</v>
      </c>
      <c r="D128" s="24" t="s">
        <v>155</v>
      </c>
      <c r="E128" s="24">
        <v>8</v>
      </c>
      <c r="F128" s="24">
        <v>6</v>
      </c>
      <c r="G128" s="24"/>
      <c r="H128" s="24"/>
    </row>
    <row r="129" spans="1:8" ht="15" customHeight="1" x14ac:dyDescent="0.3">
      <c r="A129" s="34" t="s">
        <v>408</v>
      </c>
      <c r="B129" s="35" t="s">
        <v>409</v>
      </c>
      <c r="C129" s="35" t="s">
        <v>225</v>
      </c>
      <c r="D129" s="34" t="s">
        <v>155</v>
      </c>
      <c r="E129" s="34">
        <v>4</v>
      </c>
      <c r="F129" s="34">
        <v>4</v>
      </c>
      <c r="G129" s="34"/>
      <c r="H129" s="34"/>
    </row>
    <row r="130" spans="1:8" ht="15" customHeight="1" x14ac:dyDescent="0.3">
      <c r="A130" s="24" t="s">
        <v>410</v>
      </c>
      <c r="B130" s="23" t="s">
        <v>411</v>
      </c>
      <c r="C130" s="23" t="s">
        <v>158</v>
      </c>
      <c r="D130" s="24" t="s">
        <v>155</v>
      </c>
      <c r="E130" s="24">
        <v>6</v>
      </c>
      <c r="F130" s="24">
        <v>5</v>
      </c>
      <c r="G130" s="24"/>
      <c r="H130" s="24"/>
    </row>
    <row r="131" spans="1:8" ht="15" customHeight="1" x14ac:dyDescent="0.3">
      <c r="A131" s="34" t="s">
        <v>412</v>
      </c>
      <c r="B131" s="35" t="s">
        <v>413</v>
      </c>
      <c r="C131" s="35" t="s">
        <v>216</v>
      </c>
      <c r="D131" s="34" t="s">
        <v>155</v>
      </c>
      <c r="E131" s="34">
        <v>4</v>
      </c>
      <c r="F131" s="34">
        <v>5</v>
      </c>
      <c r="G131" s="34"/>
      <c r="H131" s="34"/>
    </row>
    <row r="132" spans="1:8" ht="15" customHeight="1" x14ac:dyDescent="0.3">
      <c r="A132" s="24" t="s">
        <v>414</v>
      </c>
      <c r="B132" s="23" t="s">
        <v>415</v>
      </c>
      <c r="C132" s="23" t="s">
        <v>416</v>
      </c>
      <c r="D132" s="24" t="s">
        <v>155</v>
      </c>
      <c r="E132" s="24">
        <v>4</v>
      </c>
      <c r="F132" s="24">
        <v>1</v>
      </c>
      <c r="G132" s="24"/>
      <c r="H132" s="24"/>
    </row>
    <row r="133" spans="1:8" ht="15" customHeight="1" x14ac:dyDescent="0.3">
      <c r="A133" s="34" t="s">
        <v>417</v>
      </c>
      <c r="B133" s="35" t="s">
        <v>418</v>
      </c>
      <c r="C133" s="35" t="s">
        <v>158</v>
      </c>
      <c r="D133" s="34" t="s">
        <v>155</v>
      </c>
      <c r="E133" s="34">
        <v>0</v>
      </c>
      <c r="F133" s="34">
        <v>1</v>
      </c>
      <c r="G133" s="34"/>
      <c r="H133" s="34"/>
    </row>
    <row r="134" spans="1:8" ht="15" customHeight="1" x14ac:dyDescent="0.3">
      <c r="A134" s="24" t="s">
        <v>419</v>
      </c>
      <c r="B134" s="23" t="s">
        <v>420</v>
      </c>
      <c r="C134" s="23" t="s">
        <v>216</v>
      </c>
      <c r="D134" s="24" t="s">
        <v>155</v>
      </c>
      <c r="E134" s="24">
        <v>5</v>
      </c>
      <c r="F134" s="24">
        <v>5</v>
      </c>
      <c r="G134" s="24"/>
      <c r="H134" s="24"/>
    </row>
    <row r="135" spans="1:8" ht="15" customHeight="1" x14ac:dyDescent="0.3">
      <c r="A135" s="34" t="s">
        <v>421</v>
      </c>
      <c r="B135" s="35" t="s">
        <v>422</v>
      </c>
      <c r="C135" s="35" t="s">
        <v>216</v>
      </c>
      <c r="D135" s="34" t="s">
        <v>155</v>
      </c>
      <c r="E135" s="34">
        <v>3</v>
      </c>
      <c r="F135" s="34">
        <v>5</v>
      </c>
      <c r="G135" s="34"/>
      <c r="H135" s="34"/>
    </row>
    <row r="136" spans="1:8" ht="15" customHeight="1" x14ac:dyDescent="0.3">
      <c r="A136" s="24" t="s">
        <v>423</v>
      </c>
      <c r="B136" s="23" t="s">
        <v>424</v>
      </c>
      <c r="C136" s="23" t="s">
        <v>198</v>
      </c>
      <c r="D136" s="24" t="s">
        <v>155</v>
      </c>
      <c r="E136" s="24">
        <v>10</v>
      </c>
      <c r="F136" s="24">
        <v>6</v>
      </c>
      <c r="G136" s="24"/>
      <c r="H136" s="24"/>
    </row>
    <row r="137" spans="1:8" ht="15" customHeight="1" x14ac:dyDescent="0.3">
      <c r="A137" s="34" t="s">
        <v>425</v>
      </c>
      <c r="B137" s="35" t="s">
        <v>426</v>
      </c>
      <c r="C137" s="35" t="s">
        <v>225</v>
      </c>
      <c r="D137" s="34" t="s">
        <v>155</v>
      </c>
      <c r="E137" s="34">
        <v>10</v>
      </c>
      <c r="F137" s="34">
        <v>5</v>
      </c>
      <c r="G137" s="34"/>
      <c r="H137" s="34"/>
    </row>
    <row r="138" spans="1:8" ht="15" customHeight="1" x14ac:dyDescent="0.3">
      <c r="A138" s="24" t="s">
        <v>427</v>
      </c>
      <c r="B138" s="23" t="s">
        <v>428</v>
      </c>
      <c r="C138" s="23" t="s">
        <v>171</v>
      </c>
      <c r="D138" s="24" t="s">
        <v>155</v>
      </c>
      <c r="E138" s="24">
        <v>3</v>
      </c>
      <c r="F138" s="24">
        <v>5</v>
      </c>
      <c r="G138" s="24"/>
      <c r="H138" s="24"/>
    </row>
    <row r="139" spans="1:8" ht="15" customHeight="1" x14ac:dyDescent="0.3">
      <c r="A139" s="34" t="s">
        <v>429</v>
      </c>
      <c r="B139" s="35" t="s">
        <v>430</v>
      </c>
      <c r="C139" s="35" t="s">
        <v>158</v>
      </c>
      <c r="D139" s="34" t="s">
        <v>155</v>
      </c>
      <c r="E139" s="34">
        <v>7</v>
      </c>
      <c r="F139" s="34">
        <v>7</v>
      </c>
      <c r="G139" s="34"/>
      <c r="H139" s="34"/>
    </row>
    <row r="140" spans="1:8" ht="15" customHeight="1" x14ac:dyDescent="0.3">
      <c r="A140" s="24" t="s">
        <v>431</v>
      </c>
      <c r="B140" s="23" t="s">
        <v>432</v>
      </c>
      <c r="C140" s="23" t="s">
        <v>216</v>
      </c>
      <c r="D140" s="24" t="s">
        <v>155</v>
      </c>
      <c r="E140" s="24">
        <v>3</v>
      </c>
      <c r="F140" s="24">
        <v>3</v>
      </c>
      <c r="G140" s="24"/>
      <c r="H140" s="24"/>
    </row>
    <row r="141" spans="1:8" ht="15" customHeight="1" x14ac:dyDescent="0.3">
      <c r="A141" s="34" t="s">
        <v>433</v>
      </c>
      <c r="B141" s="35" t="s">
        <v>434</v>
      </c>
      <c r="C141" s="35" t="s">
        <v>188</v>
      </c>
      <c r="D141" s="34" t="s">
        <v>155</v>
      </c>
      <c r="E141" s="34">
        <v>5</v>
      </c>
      <c r="F141" s="34">
        <v>6</v>
      </c>
      <c r="G141" s="34"/>
      <c r="H141" s="34"/>
    </row>
    <row r="142" spans="1:8" ht="15" customHeight="1" x14ac:dyDescent="0.3">
      <c r="A142" s="24" t="s">
        <v>435</v>
      </c>
      <c r="B142" s="23" t="s">
        <v>436</v>
      </c>
      <c r="C142" s="23" t="s">
        <v>188</v>
      </c>
      <c r="D142" s="24" t="s">
        <v>155</v>
      </c>
      <c r="E142" s="24">
        <v>3</v>
      </c>
      <c r="F142" s="24">
        <v>3</v>
      </c>
      <c r="G142" s="24"/>
      <c r="H142" s="24"/>
    </row>
    <row r="143" spans="1:8" ht="15" customHeight="1" x14ac:dyDescent="0.3">
      <c r="A143" s="34" t="s">
        <v>437</v>
      </c>
      <c r="B143" s="35" t="s">
        <v>438</v>
      </c>
      <c r="C143" s="35" t="s">
        <v>225</v>
      </c>
      <c r="D143" s="34" t="s">
        <v>155</v>
      </c>
      <c r="E143" s="34">
        <v>0</v>
      </c>
      <c r="F143" s="34">
        <v>4</v>
      </c>
      <c r="G143" s="34"/>
      <c r="H143" s="34"/>
    </row>
    <row r="144" spans="1:8" ht="15" customHeight="1" x14ac:dyDescent="0.3">
      <c r="A144" s="24" t="s">
        <v>439</v>
      </c>
      <c r="B144" s="23" t="s">
        <v>440</v>
      </c>
      <c r="C144" s="23" t="s">
        <v>216</v>
      </c>
      <c r="D144" s="24" t="s">
        <v>155</v>
      </c>
      <c r="E144" s="24">
        <v>3</v>
      </c>
      <c r="F144" s="24">
        <v>4</v>
      </c>
      <c r="G144" s="24"/>
      <c r="H144" s="24"/>
    </row>
    <row r="145" spans="1:8" ht="15" customHeight="1" x14ac:dyDescent="0.3">
      <c r="A145" s="34" t="s">
        <v>441</v>
      </c>
      <c r="B145" s="35" t="s">
        <v>442</v>
      </c>
      <c r="C145" s="35" t="s">
        <v>171</v>
      </c>
      <c r="D145" s="34" t="s">
        <v>155</v>
      </c>
      <c r="E145" s="34">
        <v>1</v>
      </c>
      <c r="F145" s="34">
        <v>4</v>
      </c>
      <c r="G145" s="34"/>
      <c r="H145" s="34"/>
    </row>
    <row r="146" spans="1:8" ht="15" customHeight="1" x14ac:dyDescent="0.3">
      <c r="A146" s="24" t="s">
        <v>443</v>
      </c>
      <c r="B146" s="23" t="s">
        <v>444</v>
      </c>
      <c r="C146" s="23" t="s">
        <v>171</v>
      </c>
      <c r="D146" s="24" t="s">
        <v>155</v>
      </c>
      <c r="E146" s="24">
        <v>0</v>
      </c>
      <c r="F146" s="24">
        <v>1</v>
      </c>
      <c r="G146" s="24"/>
      <c r="H146" s="24"/>
    </row>
    <row r="147" spans="1:8" ht="15" customHeight="1" x14ac:dyDescent="0.3">
      <c r="A147" s="34" t="s">
        <v>445</v>
      </c>
      <c r="B147" s="35" t="s">
        <v>446</v>
      </c>
      <c r="C147" s="35" t="s">
        <v>185</v>
      </c>
      <c r="D147" s="34" t="s">
        <v>155</v>
      </c>
      <c r="E147" s="34">
        <v>14</v>
      </c>
      <c r="F147" s="34">
        <v>6</v>
      </c>
      <c r="G147" s="34"/>
      <c r="H147" s="34"/>
    </row>
    <row r="148" spans="1:8" ht="15" customHeight="1" x14ac:dyDescent="0.3">
      <c r="A148" s="24" t="s">
        <v>447</v>
      </c>
      <c r="B148" s="23" t="s">
        <v>448</v>
      </c>
      <c r="C148" s="23" t="s">
        <v>225</v>
      </c>
      <c r="D148" s="24" t="s">
        <v>155</v>
      </c>
      <c r="E148" s="24">
        <v>9</v>
      </c>
      <c r="F148" s="24">
        <v>6</v>
      </c>
      <c r="G148" s="24"/>
      <c r="H148" s="24"/>
    </row>
    <row r="149" spans="1:8" ht="15" customHeight="1" x14ac:dyDescent="0.3">
      <c r="A149" s="34" t="s">
        <v>449</v>
      </c>
      <c r="B149" s="35" t="s">
        <v>450</v>
      </c>
      <c r="C149" s="35" t="s">
        <v>225</v>
      </c>
      <c r="D149" s="34" t="s">
        <v>155</v>
      </c>
      <c r="E149" s="34">
        <v>6</v>
      </c>
      <c r="F149" s="34">
        <v>5</v>
      </c>
      <c r="G149" s="34"/>
      <c r="H149" s="34"/>
    </row>
    <row r="150" spans="1:8" ht="15" customHeight="1" x14ac:dyDescent="0.3">
      <c r="A150" s="24" t="s">
        <v>451</v>
      </c>
      <c r="B150" s="23" t="s">
        <v>452</v>
      </c>
      <c r="C150" s="23" t="s">
        <v>213</v>
      </c>
      <c r="D150" s="24" t="s">
        <v>155</v>
      </c>
      <c r="E150" s="24">
        <v>807</v>
      </c>
      <c r="F150" s="24">
        <v>13</v>
      </c>
      <c r="G150" s="24"/>
      <c r="H150" s="24"/>
    </row>
    <row r="151" spans="1:8" ht="15" customHeight="1" x14ac:dyDescent="0.3">
      <c r="A151" s="34" t="s">
        <v>453</v>
      </c>
      <c r="B151" s="35" t="s">
        <v>454</v>
      </c>
      <c r="C151" s="35" t="s">
        <v>158</v>
      </c>
      <c r="D151" s="34" t="s">
        <v>155</v>
      </c>
      <c r="E151" s="34">
        <v>9</v>
      </c>
      <c r="F151" s="34">
        <v>6</v>
      </c>
      <c r="G151" s="34"/>
      <c r="H151" s="34"/>
    </row>
    <row r="152" spans="1:8" ht="15" customHeight="1" x14ac:dyDescent="0.3">
      <c r="A152" s="24" t="s">
        <v>455</v>
      </c>
      <c r="B152" s="23" t="s">
        <v>456</v>
      </c>
      <c r="C152" s="23" t="s">
        <v>225</v>
      </c>
      <c r="D152" s="24" t="s">
        <v>155</v>
      </c>
      <c r="E152" s="24">
        <v>48</v>
      </c>
      <c r="F152" s="24">
        <v>11</v>
      </c>
      <c r="G152" s="24"/>
      <c r="H152" s="24"/>
    </row>
    <row r="153" spans="1:8" ht="15" customHeight="1" x14ac:dyDescent="0.3">
      <c r="A153" s="34" t="s">
        <v>457</v>
      </c>
      <c r="B153" s="35" t="s">
        <v>458</v>
      </c>
      <c r="C153" s="35" t="s">
        <v>225</v>
      </c>
      <c r="D153" s="34" t="s">
        <v>155</v>
      </c>
      <c r="E153" s="34">
        <v>0</v>
      </c>
      <c r="F153" s="34">
        <v>2</v>
      </c>
      <c r="G153" s="34"/>
      <c r="H153" s="34"/>
    </row>
    <row r="154" spans="1:8" ht="15" customHeight="1" x14ac:dyDescent="0.3">
      <c r="A154" s="24" t="s">
        <v>459</v>
      </c>
      <c r="B154" s="23" t="s">
        <v>460</v>
      </c>
      <c r="C154" s="23" t="s">
        <v>225</v>
      </c>
      <c r="D154" s="24" t="s">
        <v>155</v>
      </c>
      <c r="E154" s="24">
        <v>26</v>
      </c>
      <c r="F154" s="24">
        <v>8</v>
      </c>
      <c r="G154" s="24"/>
      <c r="H154" s="24"/>
    </row>
    <row r="155" spans="1:8" ht="15" customHeight="1" x14ac:dyDescent="0.3">
      <c r="A155" s="34" t="s">
        <v>461</v>
      </c>
      <c r="B155" s="35" t="s">
        <v>462</v>
      </c>
      <c r="C155" s="35" t="s">
        <v>198</v>
      </c>
      <c r="D155" s="34" t="s">
        <v>155</v>
      </c>
      <c r="E155" s="34">
        <v>7</v>
      </c>
      <c r="F155" s="34">
        <v>7</v>
      </c>
      <c r="G155" s="34"/>
      <c r="H155" s="34"/>
    </row>
    <row r="156" spans="1:8" ht="15" customHeight="1" x14ac:dyDescent="0.3">
      <c r="A156" s="24" t="s">
        <v>463</v>
      </c>
      <c r="B156" s="23" t="s">
        <v>464</v>
      </c>
      <c r="C156" s="23" t="s">
        <v>225</v>
      </c>
      <c r="D156" s="24" t="s">
        <v>155</v>
      </c>
      <c r="E156" s="24">
        <v>5</v>
      </c>
      <c r="F156" s="24">
        <v>6</v>
      </c>
      <c r="G156" s="24"/>
      <c r="H156" s="24"/>
    </row>
    <row r="157" spans="1:8" ht="15" customHeight="1" x14ac:dyDescent="0.3">
      <c r="A157" s="34" t="s">
        <v>465</v>
      </c>
      <c r="B157" s="35" t="s">
        <v>466</v>
      </c>
      <c r="C157" s="35" t="s">
        <v>158</v>
      </c>
      <c r="D157" s="34" t="s">
        <v>155</v>
      </c>
      <c r="E157" s="34">
        <v>33</v>
      </c>
      <c r="F157" s="34">
        <v>8</v>
      </c>
      <c r="G157" s="34"/>
      <c r="H157" s="34"/>
    </row>
    <row r="158" spans="1:8" ht="15" customHeight="1" x14ac:dyDescent="0.3">
      <c r="A158" s="24" t="s">
        <v>467</v>
      </c>
      <c r="B158" s="23" t="s">
        <v>468</v>
      </c>
      <c r="C158" s="23" t="s">
        <v>225</v>
      </c>
      <c r="D158" s="24" t="s">
        <v>155</v>
      </c>
      <c r="E158" s="24">
        <v>4</v>
      </c>
      <c r="F158" s="24">
        <v>4</v>
      </c>
      <c r="G158" s="24"/>
      <c r="H158" s="24"/>
    </row>
    <row r="159" spans="1:8" ht="15" customHeight="1" x14ac:dyDescent="0.3">
      <c r="A159" s="34" t="s">
        <v>469</v>
      </c>
      <c r="B159" s="35" t="s">
        <v>470</v>
      </c>
      <c r="C159" s="35" t="s">
        <v>216</v>
      </c>
      <c r="D159" s="34" t="s">
        <v>155</v>
      </c>
      <c r="E159" s="34">
        <v>17</v>
      </c>
      <c r="F159" s="34">
        <v>7</v>
      </c>
      <c r="G159" s="34"/>
      <c r="H159" s="34"/>
    </row>
    <row r="160" spans="1:8" ht="15" customHeight="1" x14ac:dyDescent="0.3">
      <c r="A160" s="24" t="s">
        <v>471</v>
      </c>
      <c r="B160" s="23" t="s">
        <v>472</v>
      </c>
      <c r="C160" s="23" t="s">
        <v>216</v>
      </c>
      <c r="D160" s="24" t="s">
        <v>155</v>
      </c>
      <c r="E160" s="24">
        <v>2</v>
      </c>
      <c r="F160" s="24">
        <v>4</v>
      </c>
      <c r="G160" s="24"/>
      <c r="H160" s="24"/>
    </row>
    <row r="161" spans="1:8" ht="15" customHeight="1" x14ac:dyDescent="0.3">
      <c r="A161" s="34" t="s">
        <v>473</v>
      </c>
      <c r="B161" s="35" t="s">
        <v>474</v>
      </c>
      <c r="C161" s="35" t="s">
        <v>213</v>
      </c>
      <c r="D161" s="34" t="s">
        <v>155</v>
      </c>
      <c r="E161" s="34">
        <v>108</v>
      </c>
      <c r="F161" s="34">
        <v>12</v>
      </c>
      <c r="G161" s="34"/>
      <c r="H161" s="34"/>
    </row>
    <row r="162" spans="1:8" ht="15" customHeight="1" x14ac:dyDescent="0.3">
      <c r="A162" s="24" t="s">
        <v>475</v>
      </c>
      <c r="B162" s="23" t="s">
        <v>476</v>
      </c>
      <c r="C162" s="23" t="s">
        <v>225</v>
      </c>
      <c r="D162" s="24" t="s">
        <v>155</v>
      </c>
      <c r="E162" s="24">
        <v>3</v>
      </c>
      <c r="F162" s="24">
        <v>4</v>
      </c>
      <c r="G162" s="24"/>
      <c r="H162" s="24"/>
    </row>
    <row r="163" spans="1:8" ht="15" customHeight="1" x14ac:dyDescent="0.3">
      <c r="A163" s="34" t="s">
        <v>477</v>
      </c>
      <c r="B163" s="35" t="s">
        <v>478</v>
      </c>
      <c r="C163" s="35" t="s">
        <v>185</v>
      </c>
      <c r="D163" s="34" t="s">
        <v>155</v>
      </c>
      <c r="E163" s="34">
        <v>5</v>
      </c>
      <c r="F163" s="34">
        <v>5</v>
      </c>
      <c r="G163" s="34"/>
      <c r="H163" s="34"/>
    </row>
    <row r="164" spans="1:8" ht="15" customHeight="1" x14ac:dyDescent="0.3">
      <c r="A164" s="24" t="s">
        <v>479</v>
      </c>
      <c r="B164" s="23" t="s">
        <v>480</v>
      </c>
      <c r="C164" s="23" t="s">
        <v>225</v>
      </c>
      <c r="D164" s="24" t="s">
        <v>155</v>
      </c>
      <c r="E164" s="24">
        <v>4</v>
      </c>
      <c r="F164" s="24">
        <v>5</v>
      </c>
      <c r="G164" s="24"/>
      <c r="H164" s="24"/>
    </row>
    <row r="165" spans="1:8" ht="15" customHeight="1" x14ac:dyDescent="0.3">
      <c r="A165" s="34" t="s">
        <v>481</v>
      </c>
      <c r="B165" s="35" t="s">
        <v>482</v>
      </c>
      <c r="C165" s="35" t="s">
        <v>216</v>
      </c>
      <c r="D165" s="34" t="s">
        <v>155</v>
      </c>
      <c r="E165" s="34">
        <v>2</v>
      </c>
      <c r="F165" s="34">
        <v>4</v>
      </c>
      <c r="G165" s="34"/>
      <c r="H165" s="34"/>
    </row>
    <row r="166" spans="1:8" ht="15" customHeight="1" x14ac:dyDescent="0.3">
      <c r="A166" s="24" t="s">
        <v>483</v>
      </c>
      <c r="B166" s="23" t="s">
        <v>484</v>
      </c>
      <c r="C166" s="23" t="s">
        <v>185</v>
      </c>
      <c r="D166" s="24" t="s">
        <v>155</v>
      </c>
      <c r="E166" s="24">
        <v>28</v>
      </c>
      <c r="F166" s="24">
        <v>5</v>
      </c>
      <c r="G166" s="24"/>
      <c r="H166" s="24"/>
    </row>
    <row r="167" spans="1:8" ht="15" customHeight="1" x14ac:dyDescent="0.3">
      <c r="A167" s="34" t="s">
        <v>485</v>
      </c>
      <c r="B167" s="35" t="s">
        <v>486</v>
      </c>
      <c r="C167" s="35" t="s">
        <v>171</v>
      </c>
      <c r="D167" s="34" t="s">
        <v>155</v>
      </c>
      <c r="E167" s="34">
        <v>8</v>
      </c>
      <c r="F167" s="34">
        <v>4</v>
      </c>
      <c r="G167" s="34"/>
      <c r="H167" s="34"/>
    </row>
    <row r="168" spans="1:8" ht="15" customHeight="1" x14ac:dyDescent="0.3">
      <c r="A168" s="24" t="s">
        <v>487</v>
      </c>
      <c r="B168" s="23" t="s">
        <v>488</v>
      </c>
      <c r="C168" s="23" t="s">
        <v>158</v>
      </c>
      <c r="D168" s="24" t="s">
        <v>155</v>
      </c>
      <c r="E168" s="24">
        <v>233</v>
      </c>
      <c r="F168" s="24">
        <v>8</v>
      </c>
      <c r="G168" s="24"/>
      <c r="H168" s="24"/>
    </row>
    <row r="169" spans="1:8" ht="15" customHeight="1" x14ac:dyDescent="0.3">
      <c r="A169" s="34" t="s">
        <v>489</v>
      </c>
      <c r="B169" s="35" t="s">
        <v>490</v>
      </c>
      <c r="C169" s="35" t="s">
        <v>216</v>
      </c>
      <c r="D169" s="34" t="s">
        <v>155</v>
      </c>
      <c r="E169" s="34">
        <v>6</v>
      </c>
      <c r="F169" s="34">
        <v>5</v>
      </c>
      <c r="G169" s="34"/>
      <c r="H169" s="34"/>
    </row>
    <row r="170" spans="1:8" ht="15" customHeight="1" x14ac:dyDescent="0.3">
      <c r="A170" s="24" t="s">
        <v>491</v>
      </c>
      <c r="B170" s="23" t="s">
        <v>492</v>
      </c>
      <c r="C170" s="23" t="s">
        <v>158</v>
      </c>
      <c r="D170" s="24" t="s">
        <v>155</v>
      </c>
      <c r="E170" s="24">
        <v>0</v>
      </c>
      <c r="F170" s="24">
        <v>4</v>
      </c>
      <c r="G170" s="24"/>
      <c r="H170" s="24"/>
    </row>
    <row r="171" spans="1:8" ht="15" customHeight="1" x14ac:dyDescent="0.3">
      <c r="A171" s="34" t="s">
        <v>493</v>
      </c>
      <c r="B171" s="35" t="s">
        <v>494</v>
      </c>
      <c r="C171" s="35" t="s">
        <v>225</v>
      </c>
      <c r="D171" s="34" t="s">
        <v>155</v>
      </c>
      <c r="E171" s="34">
        <v>9</v>
      </c>
      <c r="F171" s="34">
        <v>6</v>
      </c>
      <c r="G171" s="34"/>
      <c r="H171" s="34"/>
    </row>
    <row r="172" spans="1:8" ht="15" customHeight="1" x14ac:dyDescent="0.3">
      <c r="A172" s="24" t="s">
        <v>495</v>
      </c>
      <c r="B172" s="23" t="s">
        <v>496</v>
      </c>
      <c r="C172" s="23" t="s">
        <v>225</v>
      </c>
      <c r="D172" s="24" t="s">
        <v>155</v>
      </c>
      <c r="E172" s="24">
        <v>5</v>
      </c>
      <c r="F172" s="24">
        <v>4</v>
      </c>
      <c r="G172" s="24"/>
      <c r="H172" s="24"/>
    </row>
    <row r="173" spans="1:8" ht="15" customHeight="1" x14ac:dyDescent="0.3">
      <c r="A173" s="34" t="s">
        <v>497</v>
      </c>
      <c r="B173" s="35" t="s">
        <v>498</v>
      </c>
      <c r="C173" s="35" t="s">
        <v>225</v>
      </c>
      <c r="D173" s="34" t="s">
        <v>155</v>
      </c>
      <c r="E173" s="34">
        <v>7</v>
      </c>
      <c r="F173" s="34">
        <v>6</v>
      </c>
      <c r="G173" s="34"/>
      <c r="H173" s="34"/>
    </row>
    <row r="174" spans="1:8" ht="15" customHeight="1" x14ac:dyDescent="0.3">
      <c r="A174" s="24" t="s">
        <v>499</v>
      </c>
      <c r="B174" s="23" t="s">
        <v>500</v>
      </c>
      <c r="C174" s="23" t="s">
        <v>216</v>
      </c>
      <c r="D174" s="24" t="s">
        <v>155</v>
      </c>
      <c r="E174" s="24">
        <v>0</v>
      </c>
      <c r="F174" s="24">
        <v>4</v>
      </c>
      <c r="G174" s="24"/>
      <c r="H174" s="24"/>
    </row>
    <row r="175" spans="1:8" ht="15" customHeight="1" x14ac:dyDescent="0.3">
      <c r="A175" s="34" t="s">
        <v>501</v>
      </c>
      <c r="B175" s="35" t="s">
        <v>502</v>
      </c>
      <c r="C175" s="35" t="s">
        <v>225</v>
      </c>
      <c r="D175" s="34" t="s">
        <v>155</v>
      </c>
      <c r="E175" s="34">
        <v>4</v>
      </c>
      <c r="F175" s="34">
        <v>6</v>
      </c>
      <c r="G175" s="34"/>
      <c r="H175" s="34"/>
    </row>
    <row r="176" spans="1:8" ht="15" customHeight="1" x14ac:dyDescent="0.3">
      <c r="A176" s="24" t="s">
        <v>503</v>
      </c>
      <c r="B176" s="23" t="s">
        <v>504</v>
      </c>
      <c r="C176" s="23" t="s">
        <v>154</v>
      </c>
      <c r="D176" s="24" t="s">
        <v>155</v>
      </c>
      <c r="E176" s="24">
        <v>0</v>
      </c>
      <c r="F176" s="24">
        <v>1</v>
      </c>
      <c r="G176" s="24"/>
      <c r="H176" s="24"/>
    </row>
    <row r="177" spans="1:8" ht="15" customHeight="1" x14ac:dyDescent="0.3">
      <c r="A177" s="34" t="s">
        <v>505</v>
      </c>
      <c r="B177" s="35" t="s">
        <v>506</v>
      </c>
      <c r="C177" s="35" t="s">
        <v>154</v>
      </c>
      <c r="D177" s="34" t="s">
        <v>155</v>
      </c>
      <c r="E177" s="34">
        <v>1</v>
      </c>
      <c r="F177" s="34">
        <v>1</v>
      </c>
      <c r="G177" s="34"/>
      <c r="H177" s="34"/>
    </row>
    <row r="178" spans="1:8" ht="15" customHeight="1" x14ac:dyDescent="0.3">
      <c r="A178" s="24" t="s">
        <v>507</v>
      </c>
      <c r="B178" s="23" t="s">
        <v>508</v>
      </c>
      <c r="C178" s="23" t="s">
        <v>171</v>
      </c>
      <c r="D178" s="24" t="s">
        <v>155</v>
      </c>
      <c r="E178" s="24">
        <v>0</v>
      </c>
      <c r="F178" s="24">
        <v>1</v>
      </c>
      <c r="G178" s="24"/>
      <c r="H178" s="24"/>
    </row>
    <row r="179" spans="1:8" ht="15" customHeight="1" x14ac:dyDescent="0.3">
      <c r="A179" s="34" t="s">
        <v>70</v>
      </c>
      <c r="B179" s="35" t="s">
        <v>509</v>
      </c>
      <c r="C179" s="35" t="s">
        <v>158</v>
      </c>
      <c r="D179" s="34" t="s">
        <v>155</v>
      </c>
      <c r="E179" s="34">
        <v>31</v>
      </c>
      <c r="F179" s="34">
        <v>6</v>
      </c>
      <c r="G179" s="34"/>
      <c r="H179" s="34"/>
    </row>
    <row r="180" spans="1:8" ht="15" customHeight="1" x14ac:dyDescent="0.3">
      <c r="A180" s="24" t="s">
        <v>510</v>
      </c>
      <c r="B180" s="23" t="s">
        <v>511</v>
      </c>
      <c r="C180" s="23" t="s">
        <v>171</v>
      </c>
      <c r="D180" s="24" t="s">
        <v>155</v>
      </c>
      <c r="E180" s="24">
        <v>21</v>
      </c>
      <c r="F180" s="24">
        <v>7</v>
      </c>
      <c r="G180" s="24"/>
      <c r="H180" s="24"/>
    </row>
    <row r="181" spans="1:8" ht="15" customHeight="1" x14ac:dyDescent="0.3">
      <c r="A181" s="34" t="s">
        <v>53</v>
      </c>
      <c r="B181" s="35" t="s">
        <v>512</v>
      </c>
      <c r="C181" s="35" t="s">
        <v>158</v>
      </c>
      <c r="D181" s="34" t="s">
        <v>155</v>
      </c>
      <c r="E181" s="34">
        <v>322</v>
      </c>
      <c r="F181" s="34">
        <v>11</v>
      </c>
      <c r="G181" s="34">
        <v>278</v>
      </c>
      <c r="H181" s="34">
        <v>29</v>
      </c>
    </row>
    <row r="182" spans="1:8" ht="15" customHeight="1" x14ac:dyDescent="0.3">
      <c r="A182" s="24" t="s">
        <v>513</v>
      </c>
      <c r="B182" s="23" t="s">
        <v>514</v>
      </c>
      <c r="C182" s="23" t="s">
        <v>158</v>
      </c>
      <c r="D182" s="24" t="s">
        <v>155</v>
      </c>
      <c r="E182" s="24">
        <v>1</v>
      </c>
      <c r="F182" s="24">
        <v>6</v>
      </c>
      <c r="G182" s="24"/>
      <c r="H182" s="24"/>
    </row>
    <row r="183" spans="1:8" ht="15" customHeight="1" x14ac:dyDescent="0.3">
      <c r="A183" s="34" t="s">
        <v>104</v>
      </c>
      <c r="B183" s="35" t="s">
        <v>515</v>
      </c>
      <c r="C183" s="35" t="s">
        <v>158</v>
      </c>
      <c r="D183" s="34" t="s">
        <v>155</v>
      </c>
      <c r="E183" s="34">
        <v>16</v>
      </c>
      <c r="F183" s="34">
        <v>1</v>
      </c>
      <c r="G183" s="34"/>
      <c r="H183" s="34"/>
    </row>
    <row r="184" spans="1:8" ht="15" customHeight="1" x14ac:dyDescent="0.3">
      <c r="A184" s="24" t="s">
        <v>516</v>
      </c>
      <c r="B184" s="23" t="s">
        <v>517</v>
      </c>
      <c r="C184" s="23" t="s">
        <v>158</v>
      </c>
      <c r="D184" s="24" t="s">
        <v>155</v>
      </c>
      <c r="E184" s="24">
        <v>16</v>
      </c>
      <c r="F184" s="24">
        <v>7</v>
      </c>
      <c r="G184" s="24"/>
      <c r="H184" s="24"/>
    </row>
    <row r="185" spans="1:8" ht="15" customHeight="1" x14ac:dyDescent="0.3">
      <c r="A185" s="34" t="s">
        <v>90</v>
      </c>
      <c r="B185" s="35" t="s">
        <v>518</v>
      </c>
      <c r="C185" s="35" t="s">
        <v>185</v>
      </c>
      <c r="D185" s="34" t="s">
        <v>155</v>
      </c>
      <c r="E185" s="34">
        <v>8</v>
      </c>
      <c r="F185" s="34">
        <v>7</v>
      </c>
      <c r="G185" s="34"/>
      <c r="H185" s="34"/>
    </row>
    <row r="186" spans="1:8" ht="15" customHeight="1" x14ac:dyDescent="0.3">
      <c r="A186" s="24" t="s">
        <v>519</v>
      </c>
      <c r="B186" s="23" t="s">
        <v>520</v>
      </c>
      <c r="C186" s="23" t="s">
        <v>158</v>
      </c>
      <c r="D186" s="24" t="s">
        <v>155</v>
      </c>
      <c r="E186" s="24">
        <v>0</v>
      </c>
      <c r="F186" s="24">
        <v>1</v>
      </c>
      <c r="G186" s="24"/>
      <c r="H186" s="24"/>
    </row>
    <row r="187" spans="1:8" ht="15" customHeight="1" x14ac:dyDescent="0.3">
      <c r="A187" s="34" t="s">
        <v>521</v>
      </c>
      <c r="B187" s="35" t="s">
        <v>522</v>
      </c>
      <c r="C187" s="35" t="s">
        <v>171</v>
      </c>
      <c r="D187" s="34" t="s">
        <v>155</v>
      </c>
      <c r="E187" s="34">
        <v>20</v>
      </c>
      <c r="F187" s="34">
        <v>4</v>
      </c>
      <c r="G187" s="34"/>
      <c r="H187" s="34"/>
    </row>
    <row r="188" spans="1:8" ht="15" customHeight="1" x14ac:dyDescent="0.3">
      <c r="A188" s="24" t="s">
        <v>523</v>
      </c>
      <c r="B188" s="23" t="s">
        <v>524</v>
      </c>
      <c r="C188" s="23" t="s">
        <v>225</v>
      </c>
      <c r="D188" s="24" t="s">
        <v>155</v>
      </c>
      <c r="E188" s="24">
        <v>8</v>
      </c>
      <c r="F188" s="24">
        <v>5</v>
      </c>
      <c r="G188" s="24"/>
      <c r="H188" s="24"/>
    </row>
    <row r="189" spans="1:8" ht="15" customHeight="1" x14ac:dyDescent="0.3">
      <c r="A189" s="34" t="s">
        <v>525</v>
      </c>
      <c r="B189" s="35" t="s">
        <v>526</v>
      </c>
      <c r="C189" s="35" t="s">
        <v>158</v>
      </c>
      <c r="D189" s="34" t="s">
        <v>155</v>
      </c>
      <c r="E189" s="34">
        <v>0</v>
      </c>
      <c r="F189" s="34">
        <v>1</v>
      </c>
      <c r="G189" s="34"/>
      <c r="H189" s="34"/>
    </row>
    <row r="190" spans="1:8" ht="15" customHeight="1" x14ac:dyDescent="0.3">
      <c r="A190" s="24" t="s">
        <v>84</v>
      </c>
      <c r="B190" s="23" t="s">
        <v>527</v>
      </c>
      <c r="C190" s="23" t="s">
        <v>416</v>
      </c>
      <c r="D190" s="24" t="s">
        <v>155</v>
      </c>
      <c r="E190" s="24">
        <v>47</v>
      </c>
      <c r="F190" s="24">
        <v>9</v>
      </c>
      <c r="G190" s="24"/>
      <c r="H190" s="24"/>
    </row>
    <row r="191" spans="1:8" ht="15" customHeight="1" x14ac:dyDescent="0.3">
      <c r="A191" s="34" t="s">
        <v>528</v>
      </c>
      <c r="B191" s="35" t="s">
        <v>529</v>
      </c>
      <c r="C191" s="35" t="s">
        <v>198</v>
      </c>
      <c r="D191" s="34" t="s">
        <v>155</v>
      </c>
      <c r="E191" s="34">
        <v>0</v>
      </c>
      <c r="F191" s="34">
        <v>4</v>
      </c>
      <c r="G191" s="34"/>
      <c r="H191" s="34"/>
    </row>
    <row r="192" spans="1:8" ht="15" customHeight="1" x14ac:dyDescent="0.3">
      <c r="A192" s="24" t="s">
        <v>530</v>
      </c>
      <c r="B192" s="23" t="s">
        <v>531</v>
      </c>
      <c r="C192" s="23" t="s">
        <v>216</v>
      </c>
      <c r="D192" s="24" t="s">
        <v>155</v>
      </c>
      <c r="E192" s="24">
        <v>53</v>
      </c>
      <c r="F192" s="24">
        <v>11</v>
      </c>
      <c r="G192" s="24"/>
      <c r="H192" s="24"/>
    </row>
    <row r="193" spans="1:8" ht="15" customHeight="1" x14ac:dyDescent="0.3">
      <c r="A193" s="34" t="s">
        <v>532</v>
      </c>
      <c r="B193" s="35" t="s">
        <v>533</v>
      </c>
      <c r="C193" s="35" t="s">
        <v>188</v>
      </c>
      <c r="D193" s="34" t="s">
        <v>155</v>
      </c>
      <c r="E193" s="34">
        <v>288</v>
      </c>
      <c r="F193" s="34">
        <v>13</v>
      </c>
      <c r="G193" s="34"/>
      <c r="H193" s="34"/>
    </row>
    <row r="194" spans="1:8" ht="15" customHeight="1" x14ac:dyDescent="0.3">
      <c r="A194" s="24" t="s">
        <v>534</v>
      </c>
      <c r="B194" s="23" t="s">
        <v>535</v>
      </c>
      <c r="C194" s="23" t="s">
        <v>158</v>
      </c>
      <c r="D194" s="24" t="s">
        <v>155</v>
      </c>
      <c r="E194" s="24">
        <v>29</v>
      </c>
      <c r="F194" s="24">
        <v>1</v>
      </c>
      <c r="G194" s="24"/>
      <c r="H194" s="24"/>
    </row>
    <row r="195" spans="1:8" ht="15" customHeight="1" x14ac:dyDescent="0.3">
      <c r="A195" s="34" t="s">
        <v>536</v>
      </c>
      <c r="B195" s="35" t="s">
        <v>537</v>
      </c>
      <c r="C195" s="35" t="s">
        <v>198</v>
      </c>
      <c r="D195" s="34" t="s">
        <v>155</v>
      </c>
      <c r="E195" s="34">
        <v>0</v>
      </c>
      <c r="F195" s="34">
        <v>1</v>
      </c>
      <c r="G195" s="34"/>
      <c r="H195" s="34"/>
    </row>
    <row r="196" spans="1:8" ht="15" customHeight="1" x14ac:dyDescent="0.3">
      <c r="A196" s="24" t="s">
        <v>538</v>
      </c>
      <c r="B196" s="23" t="s">
        <v>539</v>
      </c>
      <c r="C196" s="23" t="s">
        <v>171</v>
      </c>
      <c r="D196" s="24" t="s">
        <v>155</v>
      </c>
      <c r="E196" s="24">
        <v>2</v>
      </c>
      <c r="F196" s="24">
        <v>1</v>
      </c>
      <c r="G196" s="24"/>
      <c r="H196" s="24"/>
    </row>
    <row r="197" spans="1:8" ht="15" customHeight="1" x14ac:dyDescent="0.3">
      <c r="A197" s="34" t="s">
        <v>122</v>
      </c>
      <c r="B197" s="35" t="s">
        <v>540</v>
      </c>
      <c r="C197" s="35" t="s">
        <v>158</v>
      </c>
      <c r="D197" s="34" t="s">
        <v>155</v>
      </c>
      <c r="E197" s="34">
        <v>9</v>
      </c>
      <c r="F197" s="34">
        <v>7</v>
      </c>
      <c r="G197" s="34"/>
      <c r="H197" s="34"/>
    </row>
    <row r="198" spans="1:8" ht="15" customHeight="1" x14ac:dyDescent="0.3">
      <c r="A198" s="24" t="s">
        <v>541</v>
      </c>
      <c r="B198" s="23" t="s">
        <v>542</v>
      </c>
      <c r="C198" s="23" t="s">
        <v>171</v>
      </c>
      <c r="D198" s="24" t="s">
        <v>155</v>
      </c>
      <c r="E198" s="24">
        <v>1</v>
      </c>
      <c r="F198" s="24">
        <v>1</v>
      </c>
      <c r="G198" s="24"/>
      <c r="H198" s="24"/>
    </row>
    <row r="199" spans="1:8" ht="15" customHeight="1" x14ac:dyDescent="0.3">
      <c r="A199" s="34" t="s">
        <v>543</v>
      </c>
      <c r="B199" s="35" t="s">
        <v>544</v>
      </c>
      <c r="C199" s="35" t="s">
        <v>158</v>
      </c>
      <c r="D199" s="34" t="s">
        <v>155</v>
      </c>
      <c r="E199" s="34">
        <v>0</v>
      </c>
      <c r="F199" s="34">
        <v>1</v>
      </c>
      <c r="G199" s="34"/>
      <c r="H199" s="34"/>
    </row>
    <row r="200" spans="1:8" ht="15" customHeight="1" x14ac:dyDescent="0.3">
      <c r="A200" s="24" t="s">
        <v>545</v>
      </c>
      <c r="B200" s="23" t="s">
        <v>546</v>
      </c>
      <c r="C200" s="23" t="s">
        <v>158</v>
      </c>
      <c r="D200" s="24" t="s">
        <v>155</v>
      </c>
      <c r="E200" s="24">
        <v>1</v>
      </c>
      <c r="F200" s="24">
        <v>1</v>
      </c>
      <c r="G200" s="24"/>
      <c r="H200" s="24"/>
    </row>
    <row r="201" spans="1:8" ht="15" customHeight="1" x14ac:dyDescent="0.3">
      <c r="A201" s="34" t="s">
        <v>547</v>
      </c>
      <c r="B201" s="35" t="s">
        <v>548</v>
      </c>
      <c r="C201" s="35" t="s">
        <v>158</v>
      </c>
      <c r="D201" s="34" t="s">
        <v>155</v>
      </c>
      <c r="E201" s="34">
        <v>1</v>
      </c>
      <c r="F201" s="34">
        <v>4</v>
      </c>
      <c r="G201" s="34"/>
      <c r="H201" s="34"/>
    </row>
    <row r="202" spans="1:8" ht="15" customHeight="1" x14ac:dyDescent="0.3">
      <c r="A202" s="24" t="s">
        <v>549</v>
      </c>
      <c r="B202" s="23" t="s">
        <v>550</v>
      </c>
      <c r="C202" s="23" t="s">
        <v>158</v>
      </c>
      <c r="D202" s="24" t="s">
        <v>155</v>
      </c>
      <c r="E202" s="24">
        <v>4</v>
      </c>
      <c r="F202" s="24">
        <v>1</v>
      </c>
      <c r="G202" s="24"/>
      <c r="H202" s="24"/>
    </row>
    <row r="203" spans="1:8" ht="15" customHeight="1" x14ac:dyDescent="0.3">
      <c r="A203" s="34" t="s">
        <v>551</v>
      </c>
      <c r="B203" s="35" t="s">
        <v>552</v>
      </c>
      <c r="C203" s="35" t="s">
        <v>225</v>
      </c>
      <c r="D203" s="34" t="s">
        <v>155</v>
      </c>
      <c r="E203" s="34">
        <v>1</v>
      </c>
      <c r="F203" s="34">
        <v>5</v>
      </c>
      <c r="G203" s="34"/>
      <c r="H203" s="34"/>
    </row>
    <row r="204" spans="1:8" ht="15" customHeight="1" x14ac:dyDescent="0.3">
      <c r="A204" s="24" t="s">
        <v>553</v>
      </c>
      <c r="B204" s="23" t="s">
        <v>554</v>
      </c>
      <c r="C204" s="23" t="s">
        <v>158</v>
      </c>
      <c r="D204" s="24" t="s">
        <v>155</v>
      </c>
      <c r="E204" s="24">
        <v>11</v>
      </c>
      <c r="F204" s="24">
        <v>1</v>
      </c>
      <c r="G204" s="24"/>
      <c r="H204" s="24"/>
    </row>
    <row r="205" spans="1:8" ht="15" customHeight="1" x14ac:dyDescent="0.3">
      <c r="A205" s="34" t="s">
        <v>555</v>
      </c>
      <c r="B205" s="35" t="s">
        <v>556</v>
      </c>
      <c r="C205" s="35" t="s">
        <v>309</v>
      </c>
      <c r="D205" s="34" t="s">
        <v>155</v>
      </c>
      <c r="E205" s="34">
        <v>168</v>
      </c>
      <c r="F205" s="34">
        <v>10</v>
      </c>
      <c r="G205" s="34"/>
      <c r="H205" s="34"/>
    </row>
    <row r="206" spans="1:8" ht="15" customHeight="1" x14ac:dyDescent="0.3">
      <c r="A206" s="24" t="s">
        <v>557</v>
      </c>
      <c r="B206" s="23" t="s">
        <v>558</v>
      </c>
      <c r="C206" s="23" t="s">
        <v>158</v>
      </c>
      <c r="D206" s="24" t="s">
        <v>155</v>
      </c>
      <c r="E206" s="24">
        <v>4</v>
      </c>
      <c r="F206" s="24">
        <v>1</v>
      </c>
      <c r="G206" s="24"/>
      <c r="H206" s="24"/>
    </row>
    <row r="207" spans="1:8" ht="15" customHeight="1" x14ac:dyDescent="0.3">
      <c r="A207" s="34" t="s">
        <v>559</v>
      </c>
      <c r="B207" s="35" t="s">
        <v>560</v>
      </c>
      <c r="C207" s="35" t="s">
        <v>561</v>
      </c>
      <c r="D207" s="34" t="s">
        <v>155</v>
      </c>
      <c r="E207" s="34">
        <v>1</v>
      </c>
      <c r="F207" s="34">
        <v>1</v>
      </c>
      <c r="G207" s="34"/>
      <c r="H207" s="34"/>
    </row>
    <row r="208" spans="1:8" ht="15" customHeight="1" x14ac:dyDescent="0.3">
      <c r="A208" s="24" t="s">
        <v>128</v>
      </c>
      <c r="B208" s="23" t="s">
        <v>562</v>
      </c>
      <c r="C208" s="23" t="s">
        <v>171</v>
      </c>
      <c r="D208" s="24" t="s">
        <v>155</v>
      </c>
      <c r="E208" s="24">
        <v>36</v>
      </c>
      <c r="F208" s="24">
        <v>6</v>
      </c>
      <c r="G208" s="24"/>
      <c r="H208" s="24"/>
    </row>
    <row r="209" spans="1:8" ht="15" customHeight="1" x14ac:dyDescent="0.3">
      <c r="A209" s="34" t="s">
        <v>563</v>
      </c>
      <c r="B209" s="35" t="s">
        <v>564</v>
      </c>
      <c r="C209" s="35" t="s">
        <v>171</v>
      </c>
      <c r="D209" s="34" t="s">
        <v>155</v>
      </c>
      <c r="E209" s="34">
        <v>59</v>
      </c>
      <c r="F209" s="34">
        <v>9</v>
      </c>
      <c r="G209" s="34"/>
      <c r="H209" s="34"/>
    </row>
    <row r="210" spans="1:8" ht="15" customHeight="1" x14ac:dyDescent="0.3">
      <c r="A210" s="24" t="s">
        <v>565</v>
      </c>
      <c r="B210" s="23" t="s">
        <v>566</v>
      </c>
      <c r="C210" s="23" t="s">
        <v>171</v>
      </c>
      <c r="D210" s="24" t="s">
        <v>155</v>
      </c>
      <c r="E210" s="24">
        <v>1</v>
      </c>
      <c r="F210" s="24">
        <v>1</v>
      </c>
      <c r="G210" s="24"/>
      <c r="H210" s="24"/>
    </row>
    <row r="211" spans="1:8" ht="15" customHeight="1" x14ac:dyDescent="0.3">
      <c r="A211" s="34" t="s">
        <v>567</v>
      </c>
      <c r="B211" s="35" t="s">
        <v>568</v>
      </c>
      <c r="C211" s="35" t="s">
        <v>158</v>
      </c>
      <c r="D211" s="34" t="s">
        <v>155</v>
      </c>
      <c r="E211" s="34">
        <v>34</v>
      </c>
      <c r="F211" s="34">
        <v>7</v>
      </c>
      <c r="G211" s="34"/>
      <c r="H211" s="34"/>
    </row>
    <row r="212" spans="1:8" ht="15" customHeight="1" x14ac:dyDescent="0.3">
      <c r="A212" s="24" t="s">
        <v>569</v>
      </c>
      <c r="B212" s="23" t="s">
        <v>570</v>
      </c>
      <c r="C212" s="23" t="s">
        <v>158</v>
      </c>
      <c r="D212" s="24" t="s">
        <v>155</v>
      </c>
      <c r="E212" s="24">
        <v>2</v>
      </c>
      <c r="F212" s="24">
        <v>1</v>
      </c>
      <c r="G212" s="24"/>
      <c r="H212" s="24"/>
    </row>
    <row r="213" spans="1:8" ht="15" customHeight="1" x14ac:dyDescent="0.3">
      <c r="A213" s="34" t="s">
        <v>571</v>
      </c>
      <c r="B213" s="35" t="s">
        <v>572</v>
      </c>
      <c r="C213" s="35" t="s">
        <v>158</v>
      </c>
      <c r="D213" s="34" t="s">
        <v>155</v>
      </c>
      <c r="E213" s="34">
        <v>1</v>
      </c>
      <c r="F213" s="34">
        <v>1</v>
      </c>
      <c r="G213" s="34"/>
      <c r="H213" s="34"/>
    </row>
    <row r="214" spans="1:8" ht="15" customHeight="1" x14ac:dyDescent="0.3">
      <c r="A214" s="24" t="s">
        <v>573</v>
      </c>
      <c r="B214" s="23" t="s">
        <v>574</v>
      </c>
      <c r="C214" s="23" t="s">
        <v>164</v>
      </c>
      <c r="D214" s="24" t="s">
        <v>155</v>
      </c>
      <c r="E214" s="24">
        <v>10</v>
      </c>
      <c r="F214" s="24">
        <v>1</v>
      </c>
      <c r="G214" s="24"/>
      <c r="H214" s="24"/>
    </row>
    <row r="215" spans="1:8" ht="15" customHeight="1" x14ac:dyDescent="0.3">
      <c r="A215" s="34" t="s">
        <v>575</v>
      </c>
      <c r="B215" s="35" t="s">
        <v>576</v>
      </c>
      <c r="C215" s="35" t="s">
        <v>171</v>
      </c>
      <c r="D215" s="34" t="s">
        <v>155</v>
      </c>
      <c r="E215" s="34">
        <v>11</v>
      </c>
      <c r="F215" s="34">
        <v>7</v>
      </c>
      <c r="G215" s="34"/>
      <c r="H215" s="34"/>
    </row>
    <row r="216" spans="1:8" ht="15" customHeight="1" x14ac:dyDescent="0.3">
      <c r="A216" s="24" t="s">
        <v>124</v>
      </c>
      <c r="B216" s="23" t="s">
        <v>577</v>
      </c>
      <c r="C216" s="23" t="s">
        <v>158</v>
      </c>
      <c r="D216" s="24" t="s">
        <v>155</v>
      </c>
      <c r="E216" s="24">
        <v>3</v>
      </c>
      <c r="F216" s="24">
        <v>7</v>
      </c>
      <c r="G216" s="24"/>
      <c r="H216" s="24"/>
    </row>
    <row r="217" spans="1:8" ht="15" customHeight="1" x14ac:dyDescent="0.3">
      <c r="A217" s="34" t="s">
        <v>578</v>
      </c>
      <c r="B217" s="35" t="s">
        <v>579</v>
      </c>
      <c r="C217" s="35" t="s">
        <v>158</v>
      </c>
      <c r="D217" s="34" t="s">
        <v>155</v>
      </c>
      <c r="E217" s="34">
        <v>31</v>
      </c>
      <c r="F217" s="34">
        <v>6</v>
      </c>
      <c r="G217" s="34"/>
      <c r="H217" s="34"/>
    </row>
    <row r="218" spans="1:8" ht="15" customHeight="1" x14ac:dyDescent="0.3">
      <c r="A218" s="24" t="s">
        <v>580</v>
      </c>
      <c r="B218" s="23" t="s">
        <v>581</v>
      </c>
      <c r="C218" s="23" t="s">
        <v>158</v>
      </c>
      <c r="D218" s="24" t="s">
        <v>155</v>
      </c>
      <c r="E218" s="24">
        <v>2</v>
      </c>
      <c r="F218" s="24">
        <v>1</v>
      </c>
      <c r="G218" s="24"/>
      <c r="H218" s="24"/>
    </row>
    <row r="219" spans="1:8" ht="15" customHeight="1" x14ac:dyDescent="0.3">
      <c r="A219" s="34" t="s">
        <v>582</v>
      </c>
      <c r="B219" s="35" t="s">
        <v>583</v>
      </c>
      <c r="C219" s="35" t="s">
        <v>185</v>
      </c>
      <c r="D219" s="34" t="s">
        <v>155</v>
      </c>
      <c r="E219" s="34">
        <v>16</v>
      </c>
      <c r="F219" s="34">
        <v>9</v>
      </c>
      <c r="G219" s="34"/>
      <c r="H219" s="34"/>
    </row>
    <row r="220" spans="1:8" ht="15" customHeight="1" x14ac:dyDescent="0.3">
      <c r="A220" s="24" t="s">
        <v>584</v>
      </c>
      <c r="B220" s="23" t="s">
        <v>585</v>
      </c>
      <c r="C220" s="23" t="s">
        <v>158</v>
      </c>
      <c r="D220" s="24" t="s">
        <v>155</v>
      </c>
      <c r="E220" s="24">
        <v>24</v>
      </c>
      <c r="F220" s="24">
        <v>1</v>
      </c>
      <c r="G220" s="24"/>
      <c r="H220" s="24"/>
    </row>
    <row r="221" spans="1:8" ht="15" customHeight="1" x14ac:dyDescent="0.3">
      <c r="A221" s="34" t="s">
        <v>92</v>
      </c>
      <c r="B221" s="35" t="s">
        <v>586</v>
      </c>
      <c r="C221" s="35" t="s">
        <v>158</v>
      </c>
      <c r="D221" s="34" t="s">
        <v>155</v>
      </c>
      <c r="E221" s="34">
        <v>0</v>
      </c>
      <c r="F221" s="34">
        <v>1</v>
      </c>
      <c r="G221" s="34"/>
      <c r="H221" s="34"/>
    </row>
    <row r="222" spans="1:8" ht="15" customHeight="1" x14ac:dyDescent="0.3">
      <c r="A222" s="24" t="s">
        <v>587</v>
      </c>
      <c r="B222" s="23" t="s">
        <v>588</v>
      </c>
      <c r="C222" s="23" t="s">
        <v>589</v>
      </c>
      <c r="D222" s="24" t="s">
        <v>155</v>
      </c>
      <c r="E222" s="24">
        <v>0</v>
      </c>
      <c r="F222" s="24">
        <v>1</v>
      </c>
      <c r="G222" s="24"/>
      <c r="H222" s="24"/>
    </row>
    <row r="223" spans="1:8" ht="15" customHeight="1" x14ac:dyDescent="0.3">
      <c r="A223" s="34" t="s">
        <v>590</v>
      </c>
      <c r="B223" s="35" t="s">
        <v>591</v>
      </c>
      <c r="C223" s="35" t="s">
        <v>158</v>
      </c>
      <c r="D223" s="34" t="s">
        <v>155</v>
      </c>
      <c r="E223" s="34">
        <v>22</v>
      </c>
      <c r="F223" s="34">
        <v>9</v>
      </c>
      <c r="G223" s="34"/>
      <c r="H223" s="34"/>
    </row>
    <row r="224" spans="1:8" ht="15" customHeight="1" x14ac:dyDescent="0.3">
      <c r="A224" s="24" t="s">
        <v>592</v>
      </c>
      <c r="B224" s="23" t="s">
        <v>593</v>
      </c>
      <c r="C224" s="23" t="s">
        <v>158</v>
      </c>
      <c r="D224" s="24" t="s">
        <v>155</v>
      </c>
      <c r="E224" s="24">
        <v>1</v>
      </c>
      <c r="F224" s="24">
        <v>3</v>
      </c>
      <c r="G224" s="24"/>
      <c r="H224" s="24"/>
    </row>
    <row r="225" spans="1:8" ht="15" customHeight="1" x14ac:dyDescent="0.3">
      <c r="A225" s="34" t="s">
        <v>594</v>
      </c>
      <c r="B225" s="35" t="s">
        <v>595</v>
      </c>
      <c r="C225" s="35" t="s">
        <v>154</v>
      </c>
      <c r="D225" s="34" t="s">
        <v>155</v>
      </c>
      <c r="E225" s="34">
        <v>22</v>
      </c>
      <c r="F225" s="34">
        <v>6</v>
      </c>
      <c r="G225" s="34"/>
      <c r="H225" s="34"/>
    </row>
    <row r="226" spans="1:8" ht="15" customHeight="1" x14ac:dyDescent="0.3">
      <c r="A226" s="24" t="s">
        <v>596</v>
      </c>
      <c r="B226" s="23" t="s">
        <v>597</v>
      </c>
      <c r="C226" s="23" t="s">
        <v>171</v>
      </c>
      <c r="D226" s="24" t="s">
        <v>155</v>
      </c>
      <c r="E226" s="24">
        <v>8</v>
      </c>
      <c r="F226" s="24">
        <v>6</v>
      </c>
      <c r="G226" s="24"/>
      <c r="H226" s="24"/>
    </row>
    <row r="227" spans="1:8" ht="15" customHeight="1" x14ac:dyDescent="0.3">
      <c r="A227" s="34" t="s">
        <v>598</v>
      </c>
      <c r="B227" s="35" t="s">
        <v>599</v>
      </c>
      <c r="C227" s="35" t="s">
        <v>158</v>
      </c>
      <c r="D227" s="34" t="s">
        <v>155</v>
      </c>
      <c r="E227" s="34">
        <v>208</v>
      </c>
      <c r="F227" s="34">
        <v>13</v>
      </c>
      <c r="G227" s="34"/>
      <c r="H227" s="34"/>
    </row>
    <row r="228" spans="1:8" ht="15" customHeight="1" x14ac:dyDescent="0.3">
      <c r="A228" s="24" t="s">
        <v>600</v>
      </c>
      <c r="B228" s="23" t="s">
        <v>601</v>
      </c>
      <c r="C228" s="23" t="s">
        <v>158</v>
      </c>
      <c r="D228" s="24" t="s">
        <v>155</v>
      </c>
      <c r="E228" s="24">
        <v>0</v>
      </c>
      <c r="F228" s="24">
        <v>3</v>
      </c>
      <c r="G228" s="24"/>
      <c r="H228" s="24"/>
    </row>
    <row r="229" spans="1:8" ht="15" customHeight="1" x14ac:dyDescent="0.3">
      <c r="A229" s="34" t="s">
        <v>63</v>
      </c>
      <c r="B229" s="35" t="s">
        <v>602</v>
      </c>
      <c r="C229" s="35" t="s">
        <v>158</v>
      </c>
      <c r="D229" s="34" t="s">
        <v>155</v>
      </c>
      <c r="E229" s="34">
        <v>8</v>
      </c>
      <c r="F229" s="34">
        <v>6</v>
      </c>
      <c r="G229" s="34"/>
      <c r="H229" s="34"/>
    </row>
    <row r="230" spans="1:8" ht="15" customHeight="1" x14ac:dyDescent="0.3">
      <c r="A230" s="24" t="s">
        <v>603</v>
      </c>
      <c r="B230" s="23" t="s">
        <v>604</v>
      </c>
      <c r="C230" s="23" t="s">
        <v>185</v>
      </c>
      <c r="D230" s="24" t="s">
        <v>155</v>
      </c>
      <c r="E230" s="24">
        <v>0</v>
      </c>
      <c r="F230" s="24">
        <v>2</v>
      </c>
      <c r="G230" s="24"/>
      <c r="H230" s="24"/>
    </row>
    <row r="231" spans="1:8" ht="15" customHeight="1" x14ac:dyDescent="0.3">
      <c r="A231" s="34" t="s">
        <v>605</v>
      </c>
      <c r="B231" s="35" t="s">
        <v>606</v>
      </c>
      <c r="C231" s="35" t="s">
        <v>185</v>
      </c>
      <c r="D231" s="34" t="s">
        <v>155</v>
      </c>
      <c r="E231" s="34">
        <v>3</v>
      </c>
      <c r="F231" s="34">
        <v>4</v>
      </c>
      <c r="G231" s="34"/>
      <c r="H231" s="34"/>
    </row>
    <row r="232" spans="1:8" ht="15" customHeight="1" x14ac:dyDescent="0.3">
      <c r="A232" s="24" t="s">
        <v>607</v>
      </c>
      <c r="B232" s="23" t="s">
        <v>608</v>
      </c>
      <c r="C232" s="23" t="s">
        <v>213</v>
      </c>
      <c r="D232" s="24" t="s">
        <v>155</v>
      </c>
      <c r="E232" s="24">
        <v>0</v>
      </c>
      <c r="F232" s="24">
        <v>3</v>
      </c>
      <c r="G232" s="24"/>
      <c r="H232" s="24"/>
    </row>
    <row r="233" spans="1:8" ht="15" customHeight="1" x14ac:dyDescent="0.3">
      <c r="A233" s="34" t="s">
        <v>609</v>
      </c>
      <c r="B233" s="35" t="s">
        <v>610</v>
      </c>
      <c r="C233" s="35" t="s">
        <v>198</v>
      </c>
      <c r="D233" s="34" t="s">
        <v>155</v>
      </c>
      <c r="E233" s="34">
        <v>8</v>
      </c>
      <c r="F233" s="34">
        <v>5</v>
      </c>
      <c r="G233" s="34"/>
      <c r="H233" s="34"/>
    </row>
    <row r="234" spans="1:8" ht="15" customHeight="1" x14ac:dyDescent="0.3">
      <c r="A234" s="24" t="s">
        <v>611</v>
      </c>
      <c r="B234" s="23" t="s">
        <v>612</v>
      </c>
      <c r="C234" s="23" t="s">
        <v>164</v>
      </c>
      <c r="D234" s="24" t="s">
        <v>155</v>
      </c>
      <c r="E234" s="24">
        <v>1</v>
      </c>
      <c r="F234" s="24">
        <v>3</v>
      </c>
      <c r="G234" s="24"/>
      <c r="H234" s="24"/>
    </row>
    <row r="235" spans="1:8" ht="15" customHeight="1" x14ac:dyDescent="0.3">
      <c r="A235" s="34" t="s">
        <v>613</v>
      </c>
      <c r="B235" s="35" t="s">
        <v>614</v>
      </c>
      <c r="C235" s="35" t="s">
        <v>171</v>
      </c>
      <c r="D235" s="34" t="s">
        <v>155</v>
      </c>
      <c r="E235" s="34">
        <v>0</v>
      </c>
      <c r="F235" s="34">
        <v>3</v>
      </c>
      <c r="G235" s="34"/>
      <c r="H235" s="34"/>
    </row>
    <row r="236" spans="1:8" ht="15" customHeight="1" x14ac:dyDescent="0.3">
      <c r="A236" s="24" t="s">
        <v>615</v>
      </c>
      <c r="B236" s="23" t="s">
        <v>616</v>
      </c>
      <c r="C236" s="23" t="s">
        <v>158</v>
      </c>
      <c r="D236" s="24" t="s">
        <v>155</v>
      </c>
      <c r="E236" s="24">
        <v>3</v>
      </c>
      <c r="F236" s="24">
        <v>5</v>
      </c>
      <c r="G236" s="24"/>
      <c r="H236" s="24"/>
    </row>
    <row r="237" spans="1:8" ht="15" customHeight="1" x14ac:dyDescent="0.3">
      <c r="A237" s="34" t="s">
        <v>617</v>
      </c>
      <c r="B237" s="35" t="s">
        <v>618</v>
      </c>
      <c r="C237" s="35" t="s">
        <v>198</v>
      </c>
      <c r="D237" s="34" t="s">
        <v>155</v>
      </c>
      <c r="E237" s="34">
        <v>0</v>
      </c>
      <c r="F237" s="34">
        <v>1</v>
      </c>
      <c r="G237" s="34"/>
      <c r="H237" s="34"/>
    </row>
    <row r="238" spans="1:8" ht="15" customHeight="1" x14ac:dyDescent="0.3">
      <c r="A238" s="24" t="s">
        <v>619</v>
      </c>
      <c r="B238" s="23" t="s">
        <v>620</v>
      </c>
      <c r="C238" s="23" t="s">
        <v>188</v>
      </c>
      <c r="D238" s="24" t="s">
        <v>155</v>
      </c>
      <c r="E238" s="24">
        <v>6</v>
      </c>
      <c r="F238" s="24">
        <v>8</v>
      </c>
      <c r="G238" s="24"/>
      <c r="H238" s="24"/>
    </row>
    <row r="239" spans="1:8" ht="15" customHeight="1" x14ac:dyDescent="0.3">
      <c r="A239" s="34" t="s">
        <v>621</v>
      </c>
      <c r="B239" s="35" t="s">
        <v>622</v>
      </c>
      <c r="C239" s="35" t="s">
        <v>213</v>
      </c>
      <c r="D239" s="34" t="s">
        <v>155</v>
      </c>
      <c r="E239" s="34">
        <v>0</v>
      </c>
      <c r="F239" s="34">
        <v>1</v>
      </c>
      <c r="G239" s="34"/>
      <c r="H239" s="34"/>
    </row>
    <row r="240" spans="1:8" ht="15" customHeight="1" x14ac:dyDescent="0.3">
      <c r="A240" s="24" t="s">
        <v>623</v>
      </c>
      <c r="B240" s="23" t="s">
        <v>624</v>
      </c>
      <c r="C240" s="23" t="s">
        <v>171</v>
      </c>
      <c r="D240" s="24" t="s">
        <v>155</v>
      </c>
      <c r="E240" s="24">
        <v>11</v>
      </c>
      <c r="F240" s="24">
        <v>7</v>
      </c>
      <c r="G240" s="24"/>
      <c r="H240" s="24"/>
    </row>
    <row r="241" spans="1:8" ht="15" customHeight="1" x14ac:dyDescent="0.3">
      <c r="A241" s="34" t="s">
        <v>625</v>
      </c>
      <c r="B241" s="35" t="s">
        <v>626</v>
      </c>
      <c r="C241" s="35" t="s">
        <v>154</v>
      </c>
      <c r="D241" s="34" t="s">
        <v>155</v>
      </c>
      <c r="E241" s="34">
        <v>6</v>
      </c>
      <c r="F241" s="34">
        <v>6</v>
      </c>
      <c r="G241" s="34"/>
      <c r="H241" s="34"/>
    </row>
    <row r="242" spans="1:8" ht="15" customHeight="1" x14ac:dyDescent="0.3">
      <c r="A242" s="24" t="s">
        <v>627</v>
      </c>
      <c r="B242" s="23" t="s">
        <v>628</v>
      </c>
      <c r="C242" s="23" t="s">
        <v>158</v>
      </c>
      <c r="D242" s="24" t="s">
        <v>155</v>
      </c>
      <c r="E242" s="24">
        <v>46</v>
      </c>
      <c r="F242" s="24">
        <v>6</v>
      </c>
      <c r="G242" s="24"/>
      <c r="H242" s="24"/>
    </row>
    <row r="243" spans="1:8" ht="15" customHeight="1" x14ac:dyDescent="0.3">
      <c r="A243" s="34" t="s">
        <v>629</v>
      </c>
      <c r="B243" s="35" t="s">
        <v>630</v>
      </c>
      <c r="C243" s="35" t="s">
        <v>185</v>
      </c>
      <c r="D243" s="34" t="s">
        <v>155</v>
      </c>
      <c r="E243" s="34">
        <v>1</v>
      </c>
      <c r="F243" s="34">
        <v>5</v>
      </c>
      <c r="G243" s="34"/>
      <c r="H243" s="34"/>
    </row>
    <row r="244" spans="1:8" ht="15" customHeight="1" x14ac:dyDescent="0.3">
      <c r="A244" s="24" t="s">
        <v>631</v>
      </c>
      <c r="B244" s="23" t="s">
        <v>632</v>
      </c>
      <c r="C244" s="23" t="s">
        <v>158</v>
      </c>
      <c r="D244" s="24" t="s">
        <v>155</v>
      </c>
      <c r="E244" s="24">
        <v>4</v>
      </c>
      <c r="F244" s="24">
        <v>5</v>
      </c>
      <c r="G244" s="24"/>
      <c r="H244" s="24"/>
    </row>
    <row r="245" spans="1:8" ht="15" customHeight="1" x14ac:dyDescent="0.3">
      <c r="A245" s="34" t="s">
        <v>633</v>
      </c>
      <c r="B245" s="35" t="s">
        <v>634</v>
      </c>
      <c r="C245" s="35" t="s">
        <v>635</v>
      </c>
      <c r="D245" s="34" t="s">
        <v>155</v>
      </c>
      <c r="E245" s="34">
        <v>3</v>
      </c>
      <c r="F245" s="34">
        <v>11</v>
      </c>
      <c r="G245" s="34"/>
      <c r="H245" s="34"/>
    </row>
    <row r="246" spans="1:8" ht="15" customHeight="1" x14ac:dyDescent="0.3">
      <c r="A246" s="24" t="s">
        <v>636</v>
      </c>
      <c r="B246" s="23" t="s">
        <v>637</v>
      </c>
      <c r="C246" s="23" t="s">
        <v>158</v>
      </c>
      <c r="D246" s="24" t="s">
        <v>155</v>
      </c>
      <c r="E246" s="24">
        <v>2</v>
      </c>
      <c r="F246" s="24">
        <v>1</v>
      </c>
      <c r="G246" s="24"/>
      <c r="H246" s="24"/>
    </row>
    <row r="247" spans="1:8" ht="15" customHeight="1" x14ac:dyDescent="0.3">
      <c r="A247" s="34" t="s">
        <v>638</v>
      </c>
      <c r="B247" s="35" t="s">
        <v>639</v>
      </c>
      <c r="C247" s="35" t="s">
        <v>589</v>
      </c>
      <c r="D247" s="34" t="s">
        <v>155</v>
      </c>
      <c r="E247" s="34">
        <v>2</v>
      </c>
      <c r="F247" s="34">
        <v>5</v>
      </c>
      <c r="G247" s="34"/>
      <c r="H247" s="34"/>
    </row>
    <row r="248" spans="1:8" ht="15" customHeight="1" x14ac:dyDescent="0.3">
      <c r="A248" s="24" t="s">
        <v>640</v>
      </c>
      <c r="B248" s="23" t="s">
        <v>641</v>
      </c>
      <c r="C248" s="23" t="s">
        <v>158</v>
      </c>
      <c r="D248" s="24" t="s">
        <v>155</v>
      </c>
      <c r="E248" s="24">
        <v>3</v>
      </c>
      <c r="F248" s="24">
        <v>6</v>
      </c>
      <c r="G248" s="24"/>
      <c r="H248" s="24"/>
    </row>
    <row r="249" spans="1:8" ht="15" customHeight="1" x14ac:dyDescent="0.3">
      <c r="A249" s="34" t="s">
        <v>642</v>
      </c>
      <c r="B249" s="35" t="s">
        <v>643</v>
      </c>
      <c r="C249" s="35" t="s">
        <v>164</v>
      </c>
      <c r="D249" s="34" t="s">
        <v>155</v>
      </c>
      <c r="E249" s="34">
        <v>0</v>
      </c>
      <c r="F249" s="34">
        <v>3</v>
      </c>
      <c r="G249" s="34"/>
      <c r="H249" s="34"/>
    </row>
    <row r="250" spans="1:8" ht="15" customHeight="1" x14ac:dyDescent="0.3">
      <c r="A250" s="24" t="s">
        <v>644</v>
      </c>
      <c r="B250" s="23" t="s">
        <v>645</v>
      </c>
      <c r="C250" s="23" t="s">
        <v>213</v>
      </c>
      <c r="D250" s="24" t="s">
        <v>155</v>
      </c>
      <c r="E250" s="24">
        <v>0</v>
      </c>
      <c r="F250" s="24">
        <v>1</v>
      </c>
      <c r="G250" s="24"/>
      <c r="H250" s="24"/>
    </row>
    <row r="251" spans="1:8" ht="15" customHeight="1" x14ac:dyDescent="0.3">
      <c r="A251" s="34" t="s">
        <v>646</v>
      </c>
      <c r="B251" s="35" t="s">
        <v>647</v>
      </c>
      <c r="C251" s="35" t="s">
        <v>158</v>
      </c>
      <c r="D251" s="34" t="s">
        <v>155</v>
      </c>
      <c r="E251" s="34">
        <v>0</v>
      </c>
      <c r="F251" s="34">
        <v>4</v>
      </c>
      <c r="G251" s="34"/>
      <c r="H251" s="34"/>
    </row>
    <row r="252" spans="1:8" ht="15" customHeight="1" x14ac:dyDescent="0.3">
      <c r="A252" s="24" t="s">
        <v>648</v>
      </c>
      <c r="B252" s="23" t="s">
        <v>649</v>
      </c>
      <c r="C252" s="23" t="s">
        <v>158</v>
      </c>
      <c r="D252" s="24" t="s">
        <v>155</v>
      </c>
      <c r="E252" s="24">
        <v>55</v>
      </c>
      <c r="F252" s="24">
        <v>8</v>
      </c>
      <c r="G252" s="24"/>
      <c r="H252" s="24"/>
    </row>
    <row r="253" spans="1:8" ht="15" customHeight="1" x14ac:dyDescent="0.3">
      <c r="A253" s="34" t="s">
        <v>650</v>
      </c>
      <c r="B253" s="35" t="s">
        <v>651</v>
      </c>
      <c r="C253" s="35" t="s">
        <v>216</v>
      </c>
      <c r="D253" s="34" t="s">
        <v>155</v>
      </c>
      <c r="E253" s="34">
        <v>2</v>
      </c>
      <c r="F253" s="34">
        <v>6</v>
      </c>
      <c r="G253" s="34"/>
      <c r="H253" s="34"/>
    </row>
    <row r="254" spans="1:8" ht="15" customHeight="1" x14ac:dyDescent="0.3">
      <c r="A254" s="24" t="s">
        <v>652</v>
      </c>
      <c r="B254" s="23" t="s">
        <v>653</v>
      </c>
      <c r="C254" s="23" t="s">
        <v>309</v>
      </c>
      <c r="D254" s="24" t="s">
        <v>155</v>
      </c>
      <c r="E254" s="24">
        <v>0</v>
      </c>
      <c r="F254" s="24">
        <v>3</v>
      </c>
      <c r="G254" s="24"/>
      <c r="H254" s="24"/>
    </row>
    <row r="255" spans="1:8" ht="15" customHeight="1" x14ac:dyDescent="0.3">
      <c r="A255" s="34" t="s">
        <v>654</v>
      </c>
      <c r="B255" s="35" t="s">
        <v>655</v>
      </c>
      <c r="C255" s="35" t="s">
        <v>213</v>
      </c>
      <c r="D255" s="34" t="s">
        <v>155</v>
      </c>
      <c r="E255" s="34">
        <v>0</v>
      </c>
      <c r="F255" s="34">
        <v>2</v>
      </c>
      <c r="G255" s="34"/>
      <c r="H255" s="34"/>
    </row>
    <row r="256" spans="1:8" ht="15" customHeight="1" x14ac:dyDescent="0.3">
      <c r="A256" s="24" t="s">
        <v>656</v>
      </c>
      <c r="B256" s="23" t="s">
        <v>657</v>
      </c>
      <c r="C256" s="23" t="s">
        <v>213</v>
      </c>
      <c r="D256" s="24" t="s">
        <v>155</v>
      </c>
      <c r="E256" s="24">
        <v>9</v>
      </c>
      <c r="F256" s="24">
        <v>5</v>
      </c>
      <c r="G256" s="24"/>
      <c r="H256" s="24"/>
    </row>
    <row r="257" spans="1:8" ht="15" customHeight="1" x14ac:dyDescent="0.3">
      <c r="A257" s="34" t="s">
        <v>658</v>
      </c>
      <c r="B257" s="35" t="s">
        <v>659</v>
      </c>
      <c r="C257" s="35" t="s">
        <v>309</v>
      </c>
      <c r="D257" s="34" t="s">
        <v>155</v>
      </c>
      <c r="E257" s="34">
        <v>42</v>
      </c>
      <c r="F257" s="34">
        <v>9</v>
      </c>
      <c r="G257" s="34"/>
      <c r="H257" s="34"/>
    </row>
    <row r="258" spans="1:8" ht="15" customHeight="1" x14ac:dyDescent="0.3">
      <c r="A258" s="24" t="s">
        <v>660</v>
      </c>
      <c r="B258" s="23" t="s">
        <v>661</v>
      </c>
      <c r="C258" s="23" t="s">
        <v>213</v>
      </c>
      <c r="D258" s="24" t="s">
        <v>155</v>
      </c>
      <c r="E258" s="24">
        <v>6</v>
      </c>
      <c r="F258" s="24">
        <v>5</v>
      </c>
      <c r="G258" s="24"/>
      <c r="H258" s="24"/>
    </row>
    <row r="259" spans="1:8" ht="15" customHeight="1" x14ac:dyDescent="0.3">
      <c r="A259" s="34" t="s">
        <v>662</v>
      </c>
      <c r="B259" s="35" t="s">
        <v>663</v>
      </c>
      <c r="C259" s="35" t="s">
        <v>164</v>
      </c>
      <c r="D259" s="34" t="s">
        <v>155</v>
      </c>
      <c r="E259" s="34">
        <v>4</v>
      </c>
      <c r="F259" s="34">
        <v>4</v>
      </c>
      <c r="G259" s="34"/>
      <c r="H259" s="34"/>
    </row>
    <row r="260" spans="1:8" ht="15" customHeight="1" x14ac:dyDescent="0.3">
      <c r="A260" s="24" t="s">
        <v>664</v>
      </c>
      <c r="B260" s="23" t="s">
        <v>665</v>
      </c>
      <c r="C260" s="23" t="s">
        <v>164</v>
      </c>
      <c r="D260" s="24" t="s">
        <v>155</v>
      </c>
      <c r="E260" s="24">
        <v>0</v>
      </c>
      <c r="F260" s="24">
        <v>1</v>
      </c>
      <c r="G260" s="24"/>
      <c r="H260" s="24"/>
    </row>
    <row r="261" spans="1:8" ht="15" customHeight="1" x14ac:dyDescent="0.3">
      <c r="A261" s="34" t="s">
        <v>666</v>
      </c>
      <c r="B261" s="35" t="s">
        <v>667</v>
      </c>
      <c r="C261" s="35" t="s">
        <v>158</v>
      </c>
      <c r="D261" s="34" t="s">
        <v>155</v>
      </c>
      <c r="E261" s="34">
        <v>6</v>
      </c>
      <c r="F261" s="34">
        <v>1</v>
      </c>
      <c r="G261" s="34"/>
      <c r="H261" s="34"/>
    </row>
    <row r="262" spans="1:8" ht="15" customHeight="1" x14ac:dyDescent="0.3">
      <c r="A262" s="24" t="s">
        <v>668</v>
      </c>
      <c r="B262" s="23" t="s">
        <v>669</v>
      </c>
      <c r="C262" s="23" t="s">
        <v>216</v>
      </c>
      <c r="D262" s="24" t="s">
        <v>155</v>
      </c>
      <c r="E262" s="24">
        <v>0</v>
      </c>
      <c r="F262" s="24">
        <v>3</v>
      </c>
      <c r="G262" s="24"/>
      <c r="H262" s="24"/>
    </row>
    <row r="263" spans="1:8" ht="15" customHeight="1" x14ac:dyDescent="0.3">
      <c r="A263" s="34" t="s">
        <v>670</v>
      </c>
      <c r="B263" s="35" t="s">
        <v>671</v>
      </c>
      <c r="C263" s="35" t="s">
        <v>171</v>
      </c>
      <c r="D263" s="34" t="s">
        <v>155</v>
      </c>
      <c r="E263" s="34">
        <v>0</v>
      </c>
      <c r="F263" s="34">
        <v>1</v>
      </c>
      <c r="G263" s="34"/>
      <c r="H263" s="34"/>
    </row>
    <row r="264" spans="1:8" ht="15" customHeight="1" x14ac:dyDescent="0.3">
      <c r="A264" s="24" t="s">
        <v>672</v>
      </c>
      <c r="B264" s="23" t="s">
        <v>673</v>
      </c>
      <c r="C264" s="23" t="s">
        <v>416</v>
      </c>
      <c r="D264" s="24" t="s">
        <v>155</v>
      </c>
      <c r="E264" s="24">
        <v>0</v>
      </c>
      <c r="F264" s="24">
        <v>10</v>
      </c>
      <c r="G264" s="24"/>
      <c r="H264" s="24"/>
    </row>
    <row r="265" spans="1:8" ht="15" customHeight="1" x14ac:dyDescent="0.3">
      <c r="A265" s="34" t="s">
        <v>674</v>
      </c>
      <c r="B265" s="35" t="s">
        <v>675</v>
      </c>
      <c r="C265" s="35" t="s">
        <v>171</v>
      </c>
      <c r="D265" s="34" t="s">
        <v>155</v>
      </c>
      <c r="E265" s="34">
        <v>0</v>
      </c>
      <c r="F265" s="34">
        <v>1</v>
      </c>
      <c r="G265" s="34"/>
      <c r="H265" s="34"/>
    </row>
    <row r="266" spans="1:8" ht="15" customHeight="1" x14ac:dyDescent="0.3">
      <c r="A266" s="24" t="s">
        <v>676</v>
      </c>
      <c r="B266" s="23" t="s">
        <v>677</v>
      </c>
      <c r="C266" s="23" t="s">
        <v>635</v>
      </c>
      <c r="D266" s="24" t="s">
        <v>155</v>
      </c>
      <c r="E266" s="24">
        <v>11</v>
      </c>
      <c r="F266" s="24">
        <v>7</v>
      </c>
      <c r="G266" s="24"/>
      <c r="H266" s="24"/>
    </row>
    <row r="267" spans="1:8" ht="15" customHeight="1" x14ac:dyDescent="0.3">
      <c r="A267" s="34" t="s">
        <v>678</v>
      </c>
      <c r="B267" s="35" t="s">
        <v>679</v>
      </c>
      <c r="C267" s="35" t="s">
        <v>171</v>
      </c>
      <c r="D267" s="34" t="s">
        <v>155</v>
      </c>
      <c r="E267" s="34">
        <v>1</v>
      </c>
      <c r="F267" s="34">
        <v>1</v>
      </c>
      <c r="G267" s="34"/>
      <c r="H267" s="34"/>
    </row>
    <row r="268" spans="1:8" ht="15" customHeight="1" x14ac:dyDescent="0.3">
      <c r="A268" s="24" t="s">
        <v>680</v>
      </c>
      <c r="B268" s="23" t="s">
        <v>681</v>
      </c>
      <c r="C268" s="23" t="s">
        <v>188</v>
      </c>
      <c r="D268" s="24" t="s">
        <v>155</v>
      </c>
      <c r="E268" s="24">
        <v>4</v>
      </c>
      <c r="F268" s="24">
        <v>4</v>
      </c>
      <c r="G268" s="24"/>
      <c r="H268" s="24"/>
    </row>
    <row r="269" spans="1:8" ht="15" customHeight="1" x14ac:dyDescent="0.3">
      <c r="A269" s="34" t="s">
        <v>682</v>
      </c>
      <c r="B269" s="35" t="s">
        <v>683</v>
      </c>
      <c r="C269" s="35" t="s">
        <v>171</v>
      </c>
      <c r="D269" s="34" t="s">
        <v>155</v>
      </c>
      <c r="E269" s="34">
        <v>0</v>
      </c>
      <c r="F269" s="34">
        <v>1</v>
      </c>
      <c r="G269" s="34"/>
      <c r="H269" s="34"/>
    </row>
    <row r="270" spans="1:8" ht="15" customHeight="1" x14ac:dyDescent="0.3">
      <c r="A270" s="24" t="s">
        <v>684</v>
      </c>
      <c r="B270" s="23" t="s">
        <v>685</v>
      </c>
      <c r="C270" s="23" t="s">
        <v>185</v>
      </c>
      <c r="D270" s="24" t="s">
        <v>155</v>
      </c>
      <c r="E270" s="24">
        <v>0</v>
      </c>
      <c r="F270" s="24">
        <v>5</v>
      </c>
      <c r="G270" s="24"/>
      <c r="H270" s="24"/>
    </row>
    <row r="271" spans="1:8" ht="15" customHeight="1" x14ac:dyDescent="0.3">
      <c r="A271" s="34" t="s">
        <v>686</v>
      </c>
      <c r="B271" s="35" t="s">
        <v>687</v>
      </c>
      <c r="C271" s="35" t="s">
        <v>164</v>
      </c>
      <c r="D271" s="34" t="s">
        <v>155</v>
      </c>
      <c r="E271" s="34">
        <v>2</v>
      </c>
      <c r="F271" s="34">
        <v>4</v>
      </c>
      <c r="G271" s="34"/>
      <c r="H271" s="34"/>
    </row>
    <row r="272" spans="1:8" ht="15" customHeight="1" x14ac:dyDescent="0.3">
      <c r="A272" s="24" t="s">
        <v>688</v>
      </c>
      <c r="B272" s="23" t="s">
        <v>689</v>
      </c>
      <c r="C272" s="23" t="s">
        <v>198</v>
      </c>
      <c r="D272" s="24" t="s">
        <v>155</v>
      </c>
      <c r="E272" s="24">
        <v>2</v>
      </c>
      <c r="F272" s="24">
        <v>4</v>
      </c>
      <c r="G272" s="24"/>
      <c r="H272" s="24"/>
    </row>
    <row r="273" spans="1:8" ht="15" customHeight="1" x14ac:dyDescent="0.3">
      <c r="A273" s="34" t="s">
        <v>86</v>
      </c>
      <c r="B273" s="35" t="s">
        <v>690</v>
      </c>
      <c r="C273" s="35" t="s">
        <v>154</v>
      </c>
      <c r="D273" s="34" t="s">
        <v>155</v>
      </c>
      <c r="E273" s="34">
        <v>12</v>
      </c>
      <c r="F273" s="34">
        <v>3</v>
      </c>
      <c r="G273" s="34"/>
      <c r="H273" s="34"/>
    </row>
    <row r="274" spans="1:8" ht="15" customHeight="1" x14ac:dyDescent="0.3">
      <c r="A274" s="24" t="s">
        <v>112</v>
      </c>
      <c r="B274" s="23" t="s">
        <v>691</v>
      </c>
      <c r="C274" s="23" t="s">
        <v>158</v>
      </c>
      <c r="D274" s="24" t="s">
        <v>155</v>
      </c>
      <c r="E274" s="24">
        <v>3</v>
      </c>
      <c r="F274" s="24">
        <v>1</v>
      </c>
      <c r="G274" s="24"/>
      <c r="H274" s="24"/>
    </row>
    <row r="275" spans="1:8" ht="15" customHeight="1" x14ac:dyDescent="0.3">
      <c r="A275" s="34" t="s">
        <v>692</v>
      </c>
      <c r="B275" s="35" t="s">
        <v>693</v>
      </c>
      <c r="C275" s="35" t="s">
        <v>216</v>
      </c>
      <c r="D275" s="34" t="s">
        <v>155</v>
      </c>
      <c r="E275" s="34">
        <v>12</v>
      </c>
      <c r="F275" s="34">
        <v>6</v>
      </c>
      <c r="G275" s="34"/>
      <c r="H275" s="34"/>
    </row>
    <row r="276" spans="1:8" ht="15" customHeight="1" x14ac:dyDescent="0.3">
      <c r="A276" s="24" t="s">
        <v>108</v>
      </c>
      <c r="B276" s="23" t="s">
        <v>694</v>
      </c>
      <c r="C276" s="23" t="s">
        <v>171</v>
      </c>
      <c r="D276" s="24" t="s">
        <v>155</v>
      </c>
      <c r="E276" s="24">
        <v>55</v>
      </c>
      <c r="F276" s="24">
        <v>8</v>
      </c>
      <c r="G276" s="24"/>
      <c r="H276" s="24"/>
    </row>
    <row r="277" spans="1:8" ht="15" customHeight="1" x14ac:dyDescent="0.3">
      <c r="A277" s="34" t="s">
        <v>695</v>
      </c>
      <c r="B277" s="35" t="s">
        <v>696</v>
      </c>
      <c r="C277" s="35" t="s">
        <v>216</v>
      </c>
      <c r="D277" s="34" t="s">
        <v>155</v>
      </c>
      <c r="E277" s="34">
        <v>5</v>
      </c>
      <c r="F277" s="34">
        <v>5</v>
      </c>
      <c r="G277" s="34"/>
      <c r="H277" s="34"/>
    </row>
    <row r="278" spans="1:8" ht="15" customHeight="1" x14ac:dyDescent="0.3">
      <c r="A278" s="24" t="s">
        <v>697</v>
      </c>
      <c r="B278" s="23" t="s">
        <v>698</v>
      </c>
      <c r="C278" s="23" t="s">
        <v>213</v>
      </c>
      <c r="D278" s="24" t="s">
        <v>155</v>
      </c>
      <c r="E278" s="24">
        <v>0</v>
      </c>
      <c r="F278" s="24">
        <v>4</v>
      </c>
      <c r="G278" s="24"/>
      <c r="H278" s="24"/>
    </row>
    <row r="279" spans="1:8" ht="15" customHeight="1" x14ac:dyDescent="0.3">
      <c r="A279" s="34" t="s">
        <v>699</v>
      </c>
      <c r="B279" s="35" t="s">
        <v>700</v>
      </c>
      <c r="C279" s="35" t="s">
        <v>216</v>
      </c>
      <c r="D279" s="34" t="s">
        <v>155</v>
      </c>
      <c r="E279" s="34">
        <v>5</v>
      </c>
      <c r="F279" s="34">
        <v>5</v>
      </c>
      <c r="G279" s="34"/>
      <c r="H279" s="34"/>
    </row>
    <row r="280" spans="1:8" ht="15" customHeight="1" x14ac:dyDescent="0.3">
      <c r="A280" s="24" t="s">
        <v>701</v>
      </c>
      <c r="B280" s="23" t="s">
        <v>702</v>
      </c>
      <c r="C280" s="23" t="s">
        <v>213</v>
      </c>
      <c r="D280" s="24" t="s">
        <v>155</v>
      </c>
      <c r="E280" s="24">
        <v>7</v>
      </c>
      <c r="F280" s="24">
        <v>4</v>
      </c>
      <c r="G280" s="24"/>
      <c r="H280" s="24"/>
    </row>
    <row r="281" spans="1:8" ht="15" customHeight="1" x14ac:dyDescent="0.3">
      <c r="A281" s="34" t="s">
        <v>703</v>
      </c>
      <c r="B281" s="35" t="s">
        <v>704</v>
      </c>
      <c r="C281" s="35" t="s">
        <v>164</v>
      </c>
      <c r="D281" s="34" t="s">
        <v>155</v>
      </c>
      <c r="E281" s="34">
        <v>7</v>
      </c>
      <c r="F281" s="34">
        <v>6</v>
      </c>
      <c r="G281" s="34"/>
      <c r="H281" s="34"/>
    </row>
    <row r="282" spans="1:8" ht="15" customHeight="1" x14ac:dyDescent="0.3">
      <c r="A282" s="24" t="s">
        <v>705</v>
      </c>
      <c r="B282" s="23" t="s">
        <v>706</v>
      </c>
      <c r="C282" s="23" t="s">
        <v>216</v>
      </c>
      <c r="D282" s="24" t="s">
        <v>155</v>
      </c>
      <c r="E282" s="24">
        <v>2</v>
      </c>
      <c r="F282" s="24">
        <v>4</v>
      </c>
      <c r="G282" s="24"/>
      <c r="H282" s="24"/>
    </row>
    <row r="283" spans="1:8" ht="15" customHeight="1" x14ac:dyDescent="0.3">
      <c r="A283" s="34" t="s">
        <v>707</v>
      </c>
      <c r="B283" s="35" t="s">
        <v>708</v>
      </c>
      <c r="C283" s="35" t="s">
        <v>216</v>
      </c>
      <c r="D283" s="34" t="s">
        <v>155</v>
      </c>
      <c r="E283" s="34">
        <v>9</v>
      </c>
      <c r="F283" s="34">
        <v>6</v>
      </c>
      <c r="G283" s="34"/>
      <c r="H283" s="34"/>
    </row>
    <row r="284" spans="1:8" ht="15" customHeight="1" x14ac:dyDescent="0.3">
      <c r="A284" s="24" t="s">
        <v>709</v>
      </c>
      <c r="B284" s="23" t="s">
        <v>710</v>
      </c>
      <c r="C284" s="23" t="s">
        <v>216</v>
      </c>
      <c r="D284" s="24" t="s">
        <v>155</v>
      </c>
      <c r="E284" s="24">
        <v>6</v>
      </c>
      <c r="F284" s="24">
        <v>5</v>
      </c>
      <c r="G284" s="24"/>
      <c r="H284" s="24"/>
    </row>
    <row r="285" spans="1:8" ht="15" customHeight="1" x14ac:dyDescent="0.3">
      <c r="A285" s="34" t="s">
        <v>98</v>
      </c>
      <c r="B285" s="35" t="s">
        <v>711</v>
      </c>
      <c r="C285" s="35" t="s">
        <v>198</v>
      </c>
      <c r="D285" s="34" t="s">
        <v>155</v>
      </c>
      <c r="E285" s="34">
        <v>13</v>
      </c>
      <c r="F285" s="34">
        <v>7</v>
      </c>
      <c r="G285" s="34"/>
      <c r="H285" s="34"/>
    </row>
    <row r="286" spans="1:8" ht="15" customHeight="1" x14ac:dyDescent="0.3">
      <c r="A286" s="24" t="s">
        <v>110</v>
      </c>
      <c r="B286" s="23" t="s">
        <v>712</v>
      </c>
      <c r="C286" s="23" t="s">
        <v>164</v>
      </c>
      <c r="D286" s="24" t="s">
        <v>155</v>
      </c>
      <c r="E286" s="24">
        <v>8</v>
      </c>
      <c r="F286" s="24">
        <v>7</v>
      </c>
      <c r="G286" s="24"/>
      <c r="H286" s="24"/>
    </row>
    <row r="287" spans="1:8" ht="15" customHeight="1" x14ac:dyDescent="0.3">
      <c r="A287" s="34" t="s">
        <v>713</v>
      </c>
      <c r="B287" s="35" t="s">
        <v>714</v>
      </c>
      <c r="C287" s="35" t="s">
        <v>225</v>
      </c>
      <c r="D287" s="34" t="s">
        <v>155</v>
      </c>
      <c r="E287" s="34">
        <v>0</v>
      </c>
      <c r="F287" s="34">
        <v>2</v>
      </c>
      <c r="G287" s="34"/>
      <c r="H287" s="34"/>
    </row>
    <row r="288" spans="1:8" ht="15" customHeight="1" x14ac:dyDescent="0.3">
      <c r="A288" s="24" t="s">
        <v>114</v>
      </c>
      <c r="B288" s="23" t="s">
        <v>715</v>
      </c>
      <c r="C288" s="23" t="s">
        <v>158</v>
      </c>
      <c r="D288" s="24" t="s">
        <v>155</v>
      </c>
      <c r="E288" s="24">
        <v>154</v>
      </c>
      <c r="F288" s="24">
        <v>11</v>
      </c>
      <c r="G288" s="24"/>
      <c r="H288" s="24"/>
    </row>
    <row r="289" spans="1:8" ht="15" customHeight="1" x14ac:dyDescent="0.3">
      <c r="A289" s="34" t="s">
        <v>716</v>
      </c>
      <c r="B289" s="35" t="s">
        <v>717</v>
      </c>
      <c r="C289" s="35" t="s">
        <v>309</v>
      </c>
      <c r="D289" s="34" t="s">
        <v>155</v>
      </c>
      <c r="E289" s="34">
        <v>0</v>
      </c>
      <c r="F289" s="34">
        <v>2</v>
      </c>
      <c r="G289" s="34"/>
      <c r="H289" s="34"/>
    </row>
    <row r="290" spans="1:8" ht="15" customHeight="1" x14ac:dyDescent="0.3">
      <c r="A290" s="24" t="s">
        <v>718</v>
      </c>
      <c r="B290" s="23" t="s">
        <v>719</v>
      </c>
      <c r="C290" s="23" t="s">
        <v>216</v>
      </c>
      <c r="D290" s="24" t="s">
        <v>155</v>
      </c>
      <c r="E290" s="24">
        <v>4</v>
      </c>
      <c r="F290" s="24">
        <v>6</v>
      </c>
      <c r="G290" s="24"/>
      <c r="H290" s="24"/>
    </row>
    <row r="291" spans="1:8" ht="15" customHeight="1" x14ac:dyDescent="0.3">
      <c r="A291" s="34" t="s">
        <v>55</v>
      </c>
      <c r="B291" s="35" t="s">
        <v>720</v>
      </c>
      <c r="C291" s="35" t="s">
        <v>216</v>
      </c>
      <c r="D291" s="34" t="s">
        <v>155</v>
      </c>
      <c r="E291" s="34">
        <v>332</v>
      </c>
      <c r="F291" s="34">
        <v>12</v>
      </c>
      <c r="G291" s="34">
        <v>336</v>
      </c>
      <c r="H291" s="34">
        <v>21</v>
      </c>
    </row>
    <row r="292" spans="1:8" ht="15" customHeight="1" x14ac:dyDescent="0.3">
      <c r="A292" s="24" t="s">
        <v>721</v>
      </c>
      <c r="B292" s="23" t="s">
        <v>722</v>
      </c>
      <c r="C292" s="23" t="s">
        <v>213</v>
      </c>
      <c r="D292" s="24" t="s">
        <v>155</v>
      </c>
      <c r="E292" s="24">
        <v>6</v>
      </c>
      <c r="F292" s="24">
        <v>6</v>
      </c>
      <c r="G292" s="24"/>
      <c r="H292" s="24"/>
    </row>
    <row r="293" spans="1:8" ht="15" customHeight="1" x14ac:dyDescent="0.3">
      <c r="A293" s="34" t="s">
        <v>723</v>
      </c>
      <c r="B293" s="35" t="s">
        <v>724</v>
      </c>
      <c r="C293" s="35" t="s">
        <v>164</v>
      </c>
      <c r="D293" s="34" t="s">
        <v>155</v>
      </c>
      <c r="E293" s="34">
        <v>0</v>
      </c>
      <c r="F293" s="34">
        <v>3</v>
      </c>
      <c r="G293" s="34"/>
      <c r="H293" s="34"/>
    </row>
    <row r="294" spans="1:8" ht="15" customHeight="1" x14ac:dyDescent="0.3">
      <c r="A294" s="24" t="s">
        <v>725</v>
      </c>
      <c r="B294" s="23" t="s">
        <v>726</v>
      </c>
      <c r="C294" s="23" t="s">
        <v>158</v>
      </c>
      <c r="D294" s="24" t="s">
        <v>155</v>
      </c>
      <c r="E294" s="24">
        <v>4</v>
      </c>
      <c r="F294" s="24">
        <v>5</v>
      </c>
      <c r="G294" s="24"/>
      <c r="H294" s="24"/>
    </row>
    <row r="295" spans="1:8" ht="15" customHeight="1" x14ac:dyDescent="0.3">
      <c r="A295" s="34" t="s">
        <v>727</v>
      </c>
      <c r="B295" s="35" t="s">
        <v>728</v>
      </c>
      <c r="C295" s="35" t="s">
        <v>185</v>
      </c>
      <c r="D295" s="34" t="s">
        <v>155</v>
      </c>
      <c r="E295" s="34">
        <v>0</v>
      </c>
      <c r="F295" s="34">
        <v>1</v>
      </c>
      <c r="G295" s="34"/>
      <c r="H295" s="34"/>
    </row>
    <row r="296" spans="1:8" ht="15" customHeight="1" x14ac:dyDescent="0.3">
      <c r="A296" s="24" t="s">
        <v>729</v>
      </c>
      <c r="B296" s="23" t="s">
        <v>730</v>
      </c>
      <c r="C296" s="23" t="s">
        <v>216</v>
      </c>
      <c r="D296" s="24" t="s">
        <v>155</v>
      </c>
      <c r="E296" s="24">
        <v>7</v>
      </c>
      <c r="F296" s="24">
        <v>5</v>
      </c>
      <c r="G296" s="24"/>
      <c r="H296" s="24"/>
    </row>
    <row r="297" spans="1:8" ht="15" customHeight="1" x14ac:dyDescent="0.3">
      <c r="A297" s="34" t="s">
        <v>731</v>
      </c>
      <c r="B297" s="35" t="s">
        <v>732</v>
      </c>
      <c r="C297" s="35" t="s">
        <v>216</v>
      </c>
      <c r="D297" s="34" t="s">
        <v>155</v>
      </c>
      <c r="E297" s="34">
        <v>2</v>
      </c>
      <c r="F297" s="34">
        <v>4</v>
      </c>
      <c r="G297" s="34"/>
      <c r="H297" s="34"/>
    </row>
    <row r="298" spans="1:8" ht="15" customHeight="1" x14ac:dyDescent="0.3">
      <c r="A298" s="24" t="s">
        <v>733</v>
      </c>
      <c r="B298" s="23" t="s">
        <v>734</v>
      </c>
      <c r="C298" s="23" t="s">
        <v>216</v>
      </c>
      <c r="D298" s="24" t="s">
        <v>155</v>
      </c>
      <c r="E298" s="24">
        <v>4</v>
      </c>
      <c r="F298" s="24">
        <v>5</v>
      </c>
      <c r="G298" s="24"/>
      <c r="H298" s="24"/>
    </row>
    <row r="299" spans="1:8" ht="15" customHeight="1" x14ac:dyDescent="0.3">
      <c r="A299" s="34" t="s">
        <v>735</v>
      </c>
      <c r="B299" s="35" t="s">
        <v>736</v>
      </c>
      <c r="C299" s="35" t="s">
        <v>216</v>
      </c>
      <c r="D299" s="34" t="s">
        <v>155</v>
      </c>
      <c r="E299" s="34">
        <v>3</v>
      </c>
      <c r="F299" s="34">
        <v>5</v>
      </c>
      <c r="G299" s="34"/>
      <c r="H299" s="34"/>
    </row>
    <row r="300" spans="1:8" ht="15" customHeight="1" x14ac:dyDescent="0.3">
      <c r="A300" s="24" t="s">
        <v>737</v>
      </c>
      <c r="B300" s="23" t="s">
        <v>738</v>
      </c>
      <c r="C300" s="23" t="s">
        <v>198</v>
      </c>
      <c r="D300" s="24" t="s">
        <v>155</v>
      </c>
      <c r="E300" s="24">
        <v>0</v>
      </c>
      <c r="F300" s="24">
        <v>2</v>
      </c>
      <c r="G300" s="24"/>
      <c r="H300" s="24"/>
    </row>
    <row r="301" spans="1:8" ht="15" customHeight="1" x14ac:dyDescent="0.3">
      <c r="A301" s="34" t="s">
        <v>739</v>
      </c>
      <c r="B301" s="35" t="s">
        <v>740</v>
      </c>
      <c r="C301" s="35" t="s">
        <v>171</v>
      </c>
      <c r="D301" s="34" t="s">
        <v>155</v>
      </c>
      <c r="E301" s="34">
        <v>1</v>
      </c>
      <c r="F301" s="34">
        <v>4</v>
      </c>
      <c r="G301" s="34"/>
      <c r="H301" s="34"/>
    </row>
    <row r="302" spans="1:8" ht="15" customHeight="1" x14ac:dyDescent="0.3">
      <c r="A302" s="24" t="s">
        <v>741</v>
      </c>
      <c r="B302" s="23" t="s">
        <v>742</v>
      </c>
      <c r="C302" s="23" t="s">
        <v>185</v>
      </c>
      <c r="D302" s="24" t="s">
        <v>155</v>
      </c>
      <c r="E302" s="24">
        <v>1</v>
      </c>
      <c r="F302" s="24">
        <v>1</v>
      </c>
      <c r="G302" s="24"/>
      <c r="H302" s="24"/>
    </row>
    <row r="303" spans="1:8" ht="15" customHeight="1" x14ac:dyDescent="0.3">
      <c r="A303" s="34" t="s">
        <v>743</v>
      </c>
      <c r="B303" s="35" t="s">
        <v>744</v>
      </c>
      <c r="C303" s="35" t="s">
        <v>164</v>
      </c>
      <c r="D303" s="34" t="s">
        <v>155</v>
      </c>
      <c r="E303" s="34">
        <v>3</v>
      </c>
      <c r="F303" s="34">
        <v>7</v>
      </c>
      <c r="G303" s="34"/>
      <c r="H303" s="34"/>
    </row>
    <row r="304" spans="1:8" ht="15" customHeight="1" x14ac:dyDescent="0.3">
      <c r="A304" s="24" t="s">
        <v>745</v>
      </c>
      <c r="B304" s="23" t="s">
        <v>746</v>
      </c>
      <c r="C304" s="23" t="s">
        <v>188</v>
      </c>
      <c r="D304" s="24" t="s">
        <v>155</v>
      </c>
      <c r="E304" s="24">
        <v>4</v>
      </c>
      <c r="F304" s="24">
        <v>5</v>
      </c>
      <c r="G304" s="24"/>
      <c r="H304" s="24"/>
    </row>
    <row r="305" spans="1:8" ht="15" customHeight="1" x14ac:dyDescent="0.3">
      <c r="A305" s="34" t="s">
        <v>747</v>
      </c>
      <c r="B305" s="35" t="s">
        <v>748</v>
      </c>
      <c r="C305" s="35" t="s">
        <v>309</v>
      </c>
      <c r="D305" s="34" t="s">
        <v>155</v>
      </c>
      <c r="E305" s="34">
        <v>3</v>
      </c>
      <c r="F305" s="34">
        <v>4</v>
      </c>
      <c r="G305" s="34"/>
      <c r="H305" s="34"/>
    </row>
    <row r="306" spans="1:8" ht="15" customHeight="1" x14ac:dyDescent="0.3">
      <c r="A306" s="24" t="s">
        <v>749</v>
      </c>
      <c r="B306" s="23" t="s">
        <v>750</v>
      </c>
      <c r="C306" s="23" t="s">
        <v>635</v>
      </c>
      <c r="D306" s="24" t="s">
        <v>155</v>
      </c>
      <c r="E306" s="24">
        <v>0</v>
      </c>
      <c r="F306" s="24">
        <v>1</v>
      </c>
      <c r="G306" s="24"/>
      <c r="H306" s="24"/>
    </row>
    <row r="307" spans="1:8" ht="15" customHeight="1" x14ac:dyDescent="0.3">
      <c r="A307" s="34" t="s">
        <v>751</v>
      </c>
      <c r="B307" s="35" t="s">
        <v>752</v>
      </c>
      <c r="C307" s="35" t="s">
        <v>589</v>
      </c>
      <c r="D307" s="34" t="s">
        <v>155</v>
      </c>
      <c r="E307" s="34">
        <v>0</v>
      </c>
      <c r="F307" s="34">
        <v>1</v>
      </c>
      <c r="G307" s="34"/>
      <c r="H307" s="34"/>
    </row>
    <row r="308" spans="1:8" ht="15" customHeight="1" x14ac:dyDescent="0.3">
      <c r="A308" s="24" t="s">
        <v>753</v>
      </c>
      <c r="B308" s="23" t="s">
        <v>754</v>
      </c>
      <c r="C308" s="23" t="s">
        <v>225</v>
      </c>
      <c r="D308" s="24" t="s">
        <v>155</v>
      </c>
      <c r="E308" s="24">
        <v>0</v>
      </c>
      <c r="F308" s="24">
        <v>1</v>
      </c>
      <c r="G308" s="24"/>
      <c r="H308" s="24"/>
    </row>
    <row r="309" spans="1:8" ht="15" customHeight="1" x14ac:dyDescent="0.3">
      <c r="A309" s="34" t="s">
        <v>755</v>
      </c>
      <c r="B309" s="35" t="s">
        <v>756</v>
      </c>
      <c r="C309" s="35" t="s">
        <v>158</v>
      </c>
      <c r="D309" s="34" t="s">
        <v>155</v>
      </c>
      <c r="E309" s="34">
        <v>6</v>
      </c>
      <c r="F309" s="34">
        <v>4</v>
      </c>
      <c r="G309" s="34"/>
      <c r="H309" s="34"/>
    </row>
    <row r="310" spans="1:8" ht="15" customHeight="1" x14ac:dyDescent="0.3">
      <c r="A310" s="24" t="s">
        <v>757</v>
      </c>
      <c r="B310" s="23" t="s">
        <v>758</v>
      </c>
      <c r="C310" s="23" t="s">
        <v>154</v>
      </c>
      <c r="D310" s="24" t="s">
        <v>155</v>
      </c>
      <c r="E310" s="24">
        <v>0</v>
      </c>
      <c r="F310" s="24">
        <v>4</v>
      </c>
      <c r="G310" s="24"/>
      <c r="H310" s="24"/>
    </row>
    <row r="311" spans="1:8" ht="15" customHeight="1" x14ac:dyDescent="0.3">
      <c r="A311" s="34" t="s">
        <v>759</v>
      </c>
      <c r="B311" s="35" t="s">
        <v>760</v>
      </c>
      <c r="C311" s="35" t="s">
        <v>164</v>
      </c>
      <c r="D311" s="34" t="s">
        <v>155</v>
      </c>
      <c r="E311" s="34">
        <v>0</v>
      </c>
      <c r="F311" s="34">
        <v>4</v>
      </c>
      <c r="G311" s="34"/>
      <c r="H311" s="34"/>
    </row>
    <row r="312" spans="1:8" ht="15" customHeight="1" x14ac:dyDescent="0.3">
      <c r="A312" s="24" t="s">
        <v>80</v>
      </c>
      <c r="B312" s="23" t="s">
        <v>761</v>
      </c>
      <c r="C312" s="23" t="s">
        <v>198</v>
      </c>
      <c r="D312" s="24" t="s">
        <v>155</v>
      </c>
      <c r="E312" s="24">
        <v>5</v>
      </c>
      <c r="F312" s="24">
        <v>2</v>
      </c>
      <c r="G312" s="24"/>
      <c r="H312" s="24"/>
    </row>
    <row r="313" spans="1:8" ht="15" customHeight="1" x14ac:dyDescent="0.3">
      <c r="A313" s="34" t="s">
        <v>762</v>
      </c>
      <c r="B313" s="35" t="s">
        <v>763</v>
      </c>
      <c r="C313" s="35" t="s">
        <v>171</v>
      </c>
      <c r="D313" s="34" t="s">
        <v>155</v>
      </c>
      <c r="E313" s="34">
        <v>2</v>
      </c>
      <c r="F313" s="34">
        <v>4</v>
      </c>
      <c r="G313" s="34"/>
      <c r="H313" s="34"/>
    </row>
    <row r="314" spans="1:8" ht="15" customHeight="1" x14ac:dyDescent="0.3">
      <c r="A314" s="24" t="s">
        <v>764</v>
      </c>
      <c r="B314" s="23" t="s">
        <v>765</v>
      </c>
      <c r="C314" s="23" t="s">
        <v>158</v>
      </c>
      <c r="D314" s="24" t="s">
        <v>155</v>
      </c>
      <c r="E314" s="24">
        <v>0</v>
      </c>
      <c r="F314" s="24">
        <v>4</v>
      </c>
      <c r="G314" s="24"/>
      <c r="H314" s="24"/>
    </row>
    <row r="315" spans="1:8" ht="15" customHeight="1" x14ac:dyDescent="0.3">
      <c r="A315" s="34" t="s">
        <v>766</v>
      </c>
      <c r="B315" s="35" t="s">
        <v>767</v>
      </c>
      <c r="C315" s="35" t="s">
        <v>164</v>
      </c>
      <c r="D315" s="34" t="s">
        <v>155</v>
      </c>
      <c r="E315" s="34">
        <v>9</v>
      </c>
      <c r="F315" s="34">
        <v>6</v>
      </c>
      <c r="G315" s="34"/>
      <c r="H315" s="34"/>
    </row>
    <row r="316" spans="1:8" ht="15" customHeight="1" x14ac:dyDescent="0.3">
      <c r="A316" s="24" t="s">
        <v>768</v>
      </c>
      <c r="B316" s="23" t="s">
        <v>769</v>
      </c>
      <c r="C316" s="23" t="s">
        <v>158</v>
      </c>
      <c r="D316" s="24" t="s">
        <v>155</v>
      </c>
      <c r="E316" s="24">
        <v>424</v>
      </c>
      <c r="F316" s="24">
        <v>9</v>
      </c>
      <c r="G316" s="24"/>
      <c r="H316" s="24"/>
    </row>
    <row r="317" spans="1:8" ht="15" customHeight="1" x14ac:dyDescent="0.3">
      <c r="A317" s="34" t="s">
        <v>770</v>
      </c>
      <c r="B317" s="35" t="s">
        <v>771</v>
      </c>
      <c r="C317" s="35" t="s">
        <v>158</v>
      </c>
      <c r="D317" s="34" t="s">
        <v>155</v>
      </c>
      <c r="E317" s="34">
        <v>159</v>
      </c>
      <c r="F317" s="34">
        <v>8</v>
      </c>
      <c r="G317" s="34"/>
      <c r="H317" s="34"/>
    </row>
    <row r="318" spans="1:8" ht="15" customHeight="1" x14ac:dyDescent="0.3">
      <c r="A318" s="24" t="s">
        <v>772</v>
      </c>
      <c r="B318" s="23" t="s">
        <v>773</v>
      </c>
      <c r="C318" s="23" t="s">
        <v>158</v>
      </c>
      <c r="D318" s="24" t="s">
        <v>155</v>
      </c>
      <c r="E318" s="24">
        <v>540</v>
      </c>
      <c r="F318" s="24">
        <v>9</v>
      </c>
      <c r="G318" s="24"/>
      <c r="H318" s="24"/>
    </row>
    <row r="319" spans="1:8" ht="15" customHeight="1" x14ac:dyDescent="0.3">
      <c r="A319" s="34" t="s">
        <v>774</v>
      </c>
      <c r="B319" s="35" t="s">
        <v>775</v>
      </c>
      <c r="C319" s="35" t="s">
        <v>158</v>
      </c>
      <c r="D319" s="34" t="s">
        <v>155</v>
      </c>
      <c r="E319" s="34">
        <v>1</v>
      </c>
      <c r="F319" s="34">
        <v>1</v>
      </c>
      <c r="G319" s="34"/>
      <c r="H319" s="34"/>
    </row>
    <row r="320" spans="1:8" ht="15" customHeight="1" x14ac:dyDescent="0.3">
      <c r="A320" s="24" t="s">
        <v>776</v>
      </c>
      <c r="B320" s="23" t="s">
        <v>777</v>
      </c>
      <c r="C320" s="23" t="s">
        <v>158</v>
      </c>
      <c r="D320" s="24" t="s">
        <v>155</v>
      </c>
      <c r="E320" s="24">
        <v>0</v>
      </c>
      <c r="F320" s="24">
        <v>4</v>
      </c>
      <c r="G320" s="24"/>
      <c r="H320" s="24"/>
    </row>
    <row r="321" spans="1:8" ht="15" customHeight="1" x14ac:dyDescent="0.3">
      <c r="A321" s="34" t="s">
        <v>778</v>
      </c>
      <c r="B321" s="35" t="s">
        <v>779</v>
      </c>
      <c r="C321" s="35" t="s">
        <v>188</v>
      </c>
      <c r="D321" s="34" t="s">
        <v>155</v>
      </c>
      <c r="E321" s="34">
        <v>5</v>
      </c>
      <c r="F321" s="34">
        <v>5</v>
      </c>
      <c r="G321" s="34"/>
      <c r="H321" s="34"/>
    </row>
    <row r="322" spans="1:8" ht="15" customHeight="1" x14ac:dyDescent="0.3">
      <c r="A322" s="24" t="s">
        <v>780</v>
      </c>
      <c r="B322" s="23" t="s">
        <v>781</v>
      </c>
      <c r="C322" s="23" t="s">
        <v>198</v>
      </c>
      <c r="D322" s="24" t="s">
        <v>155</v>
      </c>
      <c r="E322" s="24">
        <v>0</v>
      </c>
      <c r="F322" s="24">
        <v>5</v>
      </c>
      <c r="G322" s="24"/>
      <c r="H322" s="24"/>
    </row>
    <row r="323" spans="1:8" ht="15" customHeight="1" x14ac:dyDescent="0.3">
      <c r="A323" s="34" t="s">
        <v>782</v>
      </c>
      <c r="B323" s="35" t="s">
        <v>783</v>
      </c>
      <c r="C323" s="35" t="s">
        <v>216</v>
      </c>
      <c r="D323" s="34" t="s">
        <v>155</v>
      </c>
      <c r="E323" s="34">
        <v>0</v>
      </c>
      <c r="F323" s="34">
        <v>1</v>
      </c>
      <c r="G323" s="34"/>
      <c r="H323" s="34"/>
    </row>
    <row r="324" spans="1:8" ht="15" customHeight="1" x14ac:dyDescent="0.3">
      <c r="A324" s="24" t="s">
        <v>784</v>
      </c>
      <c r="B324" s="23" t="s">
        <v>785</v>
      </c>
      <c r="C324" s="23" t="s">
        <v>171</v>
      </c>
      <c r="D324" s="24" t="s">
        <v>155</v>
      </c>
      <c r="E324" s="24"/>
      <c r="F324" s="24"/>
      <c r="G324" s="24"/>
      <c r="H324" s="24"/>
    </row>
    <row r="325" spans="1:8" ht="15" customHeight="1" x14ac:dyDescent="0.3">
      <c r="A325" s="34" t="s">
        <v>786</v>
      </c>
      <c r="B325" s="35" t="s">
        <v>787</v>
      </c>
      <c r="C325" s="35" t="s">
        <v>309</v>
      </c>
      <c r="D325" s="34" t="s">
        <v>155</v>
      </c>
      <c r="E325" s="34">
        <v>6</v>
      </c>
      <c r="F325" s="34">
        <v>5</v>
      </c>
      <c r="G325" s="34"/>
      <c r="H325" s="34"/>
    </row>
    <row r="326" spans="1:8" ht="15" customHeight="1" x14ac:dyDescent="0.3">
      <c r="A326" s="24" t="s">
        <v>102</v>
      </c>
      <c r="B326" s="23" t="s">
        <v>788</v>
      </c>
      <c r="C326" s="23" t="s">
        <v>213</v>
      </c>
      <c r="D326" s="24" t="s">
        <v>155</v>
      </c>
      <c r="E326" s="24">
        <v>23</v>
      </c>
      <c r="F326" s="24">
        <v>8</v>
      </c>
      <c r="G326" s="24"/>
      <c r="H326" s="24"/>
    </row>
    <row r="327" spans="1:8" ht="15" customHeight="1" x14ac:dyDescent="0.3">
      <c r="A327" s="34" t="s">
        <v>789</v>
      </c>
      <c r="B327" s="35" t="s">
        <v>790</v>
      </c>
      <c r="C327" s="35" t="s">
        <v>635</v>
      </c>
      <c r="D327" s="34" t="s">
        <v>155</v>
      </c>
      <c r="E327" s="34">
        <v>1</v>
      </c>
      <c r="F327" s="34">
        <v>2</v>
      </c>
      <c r="G327" s="34"/>
      <c r="H327" s="34"/>
    </row>
    <row r="328" spans="1:8" ht="15" customHeight="1" x14ac:dyDescent="0.3">
      <c r="A328" s="24" t="s">
        <v>791</v>
      </c>
      <c r="B328" s="23" t="s">
        <v>792</v>
      </c>
      <c r="C328" s="23" t="s">
        <v>216</v>
      </c>
      <c r="D328" s="24" t="s">
        <v>155</v>
      </c>
      <c r="E328" s="24">
        <v>4</v>
      </c>
      <c r="F328" s="24">
        <v>5</v>
      </c>
      <c r="G328" s="24"/>
      <c r="H328" s="24"/>
    </row>
    <row r="329" spans="1:8" ht="15" customHeight="1" x14ac:dyDescent="0.3">
      <c r="A329" s="34" t="s">
        <v>793</v>
      </c>
      <c r="B329" s="35" t="s">
        <v>794</v>
      </c>
      <c r="C329" s="35" t="s">
        <v>213</v>
      </c>
      <c r="D329" s="34" t="s">
        <v>155</v>
      </c>
      <c r="E329" s="34">
        <v>0</v>
      </c>
      <c r="F329" s="34">
        <v>4</v>
      </c>
      <c r="G329" s="34"/>
      <c r="H329" s="34"/>
    </row>
    <row r="330" spans="1:8" ht="15" customHeight="1" x14ac:dyDescent="0.3">
      <c r="A330" s="24" t="s">
        <v>795</v>
      </c>
      <c r="B330" s="23" t="s">
        <v>796</v>
      </c>
      <c r="C330" s="23" t="s">
        <v>164</v>
      </c>
      <c r="D330" s="24" t="s">
        <v>155</v>
      </c>
      <c r="E330" s="24">
        <v>0</v>
      </c>
      <c r="F330" s="24">
        <v>2</v>
      </c>
      <c r="G330" s="24"/>
      <c r="H330" s="24"/>
    </row>
    <row r="331" spans="1:8" ht="15" customHeight="1" x14ac:dyDescent="0.3">
      <c r="A331" s="34" t="s">
        <v>797</v>
      </c>
      <c r="B331" s="35" t="s">
        <v>798</v>
      </c>
      <c r="C331" s="35" t="s">
        <v>164</v>
      </c>
      <c r="D331" s="34" t="s">
        <v>155</v>
      </c>
      <c r="E331" s="34">
        <v>0</v>
      </c>
      <c r="F331" s="34">
        <v>3</v>
      </c>
      <c r="G331" s="34"/>
      <c r="H331" s="34"/>
    </row>
    <row r="332" spans="1:8" ht="15" customHeight="1" x14ac:dyDescent="0.3">
      <c r="A332" s="24" t="s">
        <v>799</v>
      </c>
      <c r="B332" s="23" t="s">
        <v>800</v>
      </c>
      <c r="C332" s="23" t="s">
        <v>635</v>
      </c>
      <c r="D332" s="24" t="s">
        <v>155</v>
      </c>
      <c r="E332" s="24">
        <v>2</v>
      </c>
      <c r="F332" s="24">
        <v>3</v>
      </c>
      <c r="G332" s="24"/>
      <c r="H332" s="24"/>
    </row>
    <row r="333" spans="1:8" ht="15" customHeight="1" x14ac:dyDescent="0.3">
      <c r="A333" s="34" t="s">
        <v>801</v>
      </c>
      <c r="B333" s="35" t="s">
        <v>802</v>
      </c>
      <c r="C333" s="35" t="s">
        <v>225</v>
      </c>
      <c r="D333" s="34" t="s">
        <v>155</v>
      </c>
      <c r="E333" s="34">
        <v>0</v>
      </c>
      <c r="F333" s="34">
        <v>1</v>
      </c>
      <c r="G333" s="34"/>
      <c r="H333" s="34"/>
    </row>
    <row r="334" spans="1:8" ht="15" customHeight="1" x14ac:dyDescent="0.3">
      <c r="A334" s="24" t="s">
        <v>803</v>
      </c>
      <c r="B334" s="23" t="s">
        <v>804</v>
      </c>
      <c r="C334" s="23" t="s">
        <v>561</v>
      </c>
      <c r="D334" s="24" t="s">
        <v>155</v>
      </c>
      <c r="E334" s="24">
        <v>2</v>
      </c>
      <c r="F334" s="24">
        <v>4</v>
      </c>
      <c r="G334" s="24"/>
      <c r="H334" s="24"/>
    </row>
    <row r="335" spans="1:8" ht="15" customHeight="1" x14ac:dyDescent="0.3">
      <c r="A335" s="34" t="s">
        <v>805</v>
      </c>
      <c r="B335" s="35" t="s">
        <v>806</v>
      </c>
      <c r="C335" s="35" t="s">
        <v>309</v>
      </c>
      <c r="D335" s="34" t="s">
        <v>155</v>
      </c>
      <c r="E335" s="34">
        <v>5</v>
      </c>
      <c r="F335" s="34">
        <v>5</v>
      </c>
      <c r="G335" s="34"/>
      <c r="H335" s="34"/>
    </row>
    <row r="336" spans="1:8" ht="15" customHeight="1" x14ac:dyDescent="0.3">
      <c r="A336" s="24" t="s">
        <v>807</v>
      </c>
      <c r="B336" s="23" t="s">
        <v>808</v>
      </c>
      <c r="C336" s="23" t="s">
        <v>216</v>
      </c>
      <c r="D336" s="24" t="s">
        <v>155</v>
      </c>
      <c r="E336" s="24">
        <v>0</v>
      </c>
      <c r="F336" s="24">
        <v>4</v>
      </c>
      <c r="G336" s="24"/>
      <c r="H336" s="24"/>
    </row>
    <row r="337" spans="1:8" ht="15" customHeight="1" x14ac:dyDescent="0.3">
      <c r="A337" s="34" t="s">
        <v>809</v>
      </c>
      <c r="B337" s="35" t="s">
        <v>810</v>
      </c>
      <c r="C337" s="35" t="s">
        <v>198</v>
      </c>
      <c r="D337" s="34" t="s">
        <v>155</v>
      </c>
      <c r="E337" s="34">
        <v>0</v>
      </c>
      <c r="F337" s="34">
        <v>1</v>
      </c>
      <c r="G337" s="34"/>
      <c r="H337" s="34"/>
    </row>
    <row r="338" spans="1:8" ht="15" customHeight="1" x14ac:dyDescent="0.3">
      <c r="A338" s="24" t="s">
        <v>811</v>
      </c>
      <c r="B338" s="23" t="s">
        <v>812</v>
      </c>
      <c r="C338" s="23" t="s">
        <v>198</v>
      </c>
      <c r="D338" s="24" t="s">
        <v>155</v>
      </c>
      <c r="E338" s="24">
        <v>92</v>
      </c>
      <c r="F338" s="24">
        <v>9</v>
      </c>
      <c r="G338" s="24"/>
      <c r="H338" s="24"/>
    </row>
    <row r="339" spans="1:8" ht="15" customHeight="1" x14ac:dyDescent="0.3">
      <c r="A339" s="34" t="s">
        <v>813</v>
      </c>
      <c r="B339" s="35" t="s">
        <v>814</v>
      </c>
      <c r="C339" s="35" t="s">
        <v>198</v>
      </c>
      <c r="D339" s="34" t="s">
        <v>155</v>
      </c>
      <c r="E339" s="34">
        <v>1</v>
      </c>
      <c r="F339" s="34">
        <v>6</v>
      </c>
      <c r="G339" s="34"/>
      <c r="H339" s="34"/>
    </row>
    <row r="340" spans="1:8" ht="15" customHeight="1" x14ac:dyDescent="0.3">
      <c r="A340" s="24" t="s">
        <v>815</v>
      </c>
      <c r="B340" s="23" t="s">
        <v>816</v>
      </c>
      <c r="C340" s="23" t="s">
        <v>198</v>
      </c>
      <c r="D340" s="24" t="s">
        <v>155</v>
      </c>
      <c r="E340" s="24">
        <v>0</v>
      </c>
      <c r="F340" s="24">
        <v>1</v>
      </c>
      <c r="G340" s="24"/>
      <c r="H340" s="24"/>
    </row>
    <row r="341" spans="1:8" ht="15" customHeight="1" x14ac:dyDescent="0.3">
      <c r="A341" s="34" t="s">
        <v>817</v>
      </c>
      <c r="B341" s="35" t="s">
        <v>818</v>
      </c>
      <c r="C341" s="35" t="s">
        <v>164</v>
      </c>
      <c r="D341" s="34" t="s">
        <v>155</v>
      </c>
      <c r="E341" s="34">
        <v>7</v>
      </c>
      <c r="F341" s="34">
        <v>5</v>
      </c>
      <c r="G341" s="34"/>
      <c r="H341" s="34"/>
    </row>
    <row r="342" spans="1:8" ht="15" customHeight="1" x14ac:dyDescent="0.3">
      <c r="A342" s="24" t="s">
        <v>819</v>
      </c>
      <c r="B342" s="23" t="s">
        <v>820</v>
      </c>
      <c r="C342" s="23" t="s">
        <v>198</v>
      </c>
      <c r="D342" s="24" t="s">
        <v>155</v>
      </c>
      <c r="E342" s="24">
        <v>116</v>
      </c>
      <c r="F342" s="24">
        <v>8</v>
      </c>
      <c r="G342" s="24"/>
      <c r="H342" s="24"/>
    </row>
    <row r="343" spans="1:8" ht="15" customHeight="1" x14ac:dyDescent="0.3">
      <c r="A343" s="34" t="s">
        <v>821</v>
      </c>
      <c r="B343" s="35" t="s">
        <v>822</v>
      </c>
      <c r="C343" s="35" t="s">
        <v>198</v>
      </c>
      <c r="D343" s="34" t="s">
        <v>155</v>
      </c>
      <c r="E343" s="34">
        <v>0</v>
      </c>
      <c r="F343" s="34">
        <v>2</v>
      </c>
      <c r="G343" s="34"/>
      <c r="H343" s="34"/>
    </row>
    <row r="344" spans="1:8" ht="15" customHeight="1" x14ac:dyDescent="0.3">
      <c r="A344" s="24" t="s">
        <v>823</v>
      </c>
      <c r="B344" s="23" t="s">
        <v>824</v>
      </c>
      <c r="C344" s="23" t="s">
        <v>198</v>
      </c>
      <c r="D344" s="24" t="s">
        <v>155</v>
      </c>
      <c r="E344" s="24">
        <v>0</v>
      </c>
      <c r="F344" s="24">
        <v>4</v>
      </c>
      <c r="G344" s="24"/>
      <c r="H344" s="24"/>
    </row>
    <row r="345" spans="1:8" ht="15" customHeight="1" x14ac:dyDescent="0.3">
      <c r="A345" s="34" t="s">
        <v>825</v>
      </c>
      <c r="B345" s="35" t="s">
        <v>826</v>
      </c>
      <c r="C345" s="35" t="s">
        <v>164</v>
      </c>
      <c r="D345" s="34" t="s">
        <v>155</v>
      </c>
      <c r="E345" s="34">
        <v>0</v>
      </c>
      <c r="F345" s="34">
        <v>1</v>
      </c>
      <c r="G345" s="34"/>
      <c r="H345" s="34"/>
    </row>
    <row r="346" spans="1:8" ht="15" customHeight="1" x14ac:dyDescent="0.3">
      <c r="A346" s="24" t="s">
        <v>827</v>
      </c>
      <c r="B346" s="23" t="s">
        <v>828</v>
      </c>
      <c r="C346" s="23" t="s">
        <v>213</v>
      </c>
      <c r="D346" s="24" t="s">
        <v>155</v>
      </c>
      <c r="E346" s="24">
        <v>0</v>
      </c>
      <c r="F346" s="24">
        <v>2</v>
      </c>
      <c r="G346" s="24"/>
      <c r="H346" s="24"/>
    </row>
    <row r="347" spans="1:8" ht="15" customHeight="1" x14ac:dyDescent="0.3">
      <c r="A347" s="34" t="s">
        <v>829</v>
      </c>
      <c r="B347" s="35" t="s">
        <v>830</v>
      </c>
      <c r="C347" s="35" t="s">
        <v>158</v>
      </c>
      <c r="D347" s="34" t="s">
        <v>155</v>
      </c>
      <c r="E347" s="34">
        <v>0</v>
      </c>
      <c r="F347" s="34">
        <v>1</v>
      </c>
      <c r="G347" s="34"/>
      <c r="H347" s="34"/>
    </row>
    <row r="348" spans="1:8" ht="15" customHeight="1" x14ac:dyDescent="0.3">
      <c r="A348" s="24" t="s">
        <v>831</v>
      </c>
      <c r="B348" s="23" t="s">
        <v>832</v>
      </c>
      <c r="C348" s="23" t="s">
        <v>833</v>
      </c>
      <c r="D348" s="24" t="s">
        <v>155</v>
      </c>
      <c r="E348" s="24">
        <v>0</v>
      </c>
      <c r="F348" s="24">
        <v>4</v>
      </c>
      <c r="G348" s="24"/>
      <c r="H348" s="24"/>
    </row>
    <row r="349" spans="1:8" ht="15" customHeight="1" x14ac:dyDescent="0.3">
      <c r="A349" s="34" t="s">
        <v>834</v>
      </c>
      <c r="B349" s="35" t="s">
        <v>835</v>
      </c>
      <c r="C349" s="35" t="s">
        <v>213</v>
      </c>
      <c r="D349" s="34" t="s">
        <v>155</v>
      </c>
      <c r="E349" s="34">
        <v>0</v>
      </c>
      <c r="F349" s="34">
        <v>1</v>
      </c>
      <c r="G349" s="34"/>
      <c r="H349" s="34"/>
    </row>
    <row r="350" spans="1:8" ht="15" customHeight="1" x14ac:dyDescent="0.3">
      <c r="A350" s="24" t="s">
        <v>78</v>
      </c>
      <c r="B350" s="23" t="s">
        <v>836</v>
      </c>
      <c r="C350" s="23" t="s">
        <v>158</v>
      </c>
      <c r="D350" s="24" t="s">
        <v>155</v>
      </c>
      <c r="E350" s="24">
        <v>8</v>
      </c>
      <c r="F350" s="24">
        <v>7</v>
      </c>
      <c r="G350" s="24"/>
      <c r="H350" s="24"/>
    </row>
    <row r="351" spans="1:8" ht="15" customHeight="1" x14ac:dyDescent="0.3">
      <c r="A351" s="34" t="s">
        <v>837</v>
      </c>
      <c r="B351" s="35" t="s">
        <v>838</v>
      </c>
      <c r="C351" s="35" t="s">
        <v>164</v>
      </c>
      <c r="D351" s="34" t="s">
        <v>155</v>
      </c>
      <c r="E351" s="34">
        <v>0</v>
      </c>
      <c r="F351" s="34">
        <v>4</v>
      </c>
      <c r="G351" s="34"/>
      <c r="H351" s="34"/>
    </row>
    <row r="352" spans="1:8" ht="15" customHeight="1" x14ac:dyDescent="0.3">
      <c r="A352" s="24" t="s">
        <v>839</v>
      </c>
      <c r="B352" s="23" t="s">
        <v>840</v>
      </c>
      <c r="C352" s="23" t="s">
        <v>164</v>
      </c>
      <c r="D352" s="24" t="s">
        <v>155</v>
      </c>
      <c r="E352" s="24">
        <v>0</v>
      </c>
      <c r="F352" s="24">
        <v>1</v>
      </c>
      <c r="G352" s="24"/>
      <c r="H352" s="24"/>
    </row>
    <row r="353" spans="1:8" ht="15" customHeight="1" x14ac:dyDescent="0.3">
      <c r="A353" s="34" t="s">
        <v>841</v>
      </c>
      <c r="B353" s="35" t="s">
        <v>842</v>
      </c>
      <c r="C353" s="35" t="s">
        <v>164</v>
      </c>
      <c r="D353" s="34" t="s">
        <v>155</v>
      </c>
      <c r="E353" s="34">
        <v>0</v>
      </c>
      <c r="F353" s="34">
        <v>4</v>
      </c>
      <c r="G353" s="34"/>
      <c r="H353" s="34"/>
    </row>
    <row r="354" spans="1:8" ht="15" customHeight="1" x14ac:dyDescent="0.3">
      <c r="A354" s="24" t="s">
        <v>843</v>
      </c>
      <c r="B354" s="23" t="s">
        <v>844</v>
      </c>
      <c r="C354" s="23" t="s">
        <v>158</v>
      </c>
      <c r="D354" s="24" t="s">
        <v>155</v>
      </c>
      <c r="E354" s="24">
        <v>23</v>
      </c>
      <c r="F354" s="24">
        <v>9</v>
      </c>
      <c r="G354" s="24"/>
      <c r="H354" s="24"/>
    </row>
    <row r="355" spans="1:8" ht="15" customHeight="1" x14ac:dyDescent="0.3">
      <c r="A355" s="34" t="s">
        <v>845</v>
      </c>
      <c r="B355" s="35" t="s">
        <v>846</v>
      </c>
      <c r="C355" s="35" t="s">
        <v>185</v>
      </c>
      <c r="D355" s="34" t="s">
        <v>155</v>
      </c>
      <c r="E355" s="34">
        <v>4</v>
      </c>
      <c r="F355" s="34">
        <v>5</v>
      </c>
      <c r="G355" s="34"/>
      <c r="H355" s="34"/>
    </row>
    <row r="356" spans="1:8" ht="15" customHeight="1" x14ac:dyDescent="0.3">
      <c r="A356" s="24" t="s">
        <v>847</v>
      </c>
      <c r="B356" s="23" t="s">
        <v>848</v>
      </c>
      <c r="C356" s="23" t="s">
        <v>164</v>
      </c>
      <c r="D356" s="24" t="s">
        <v>155</v>
      </c>
      <c r="E356" s="24">
        <v>0</v>
      </c>
      <c r="F356" s="24">
        <v>1</v>
      </c>
      <c r="G356" s="24"/>
      <c r="H356" s="24"/>
    </row>
    <row r="357" spans="1:8" ht="15" customHeight="1" x14ac:dyDescent="0.3">
      <c r="A357" s="34" t="s">
        <v>849</v>
      </c>
      <c r="B357" s="35" t="s">
        <v>850</v>
      </c>
      <c r="C357" s="35" t="s">
        <v>164</v>
      </c>
      <c r="D357" s="34" t="s">
        <v>155</v>
      </c>
      <c r="E357" s="34">
        <v>0</v>
      </c>
      <c r="F357" s="34">
        <v>2</v>
      </c>
      <c r="G357" s="34"/>
      <c r="H357" s="34"/>
    </row>
    <row r="358" spans="1:8" ht="15" customHeight="1" x14ac:dyDescent="0.3">
      <c r="A358" s="24" t="s">
        <v>851</v>
      </c>
      <c r="B358" s="23" t="s">
        <v>852</v>
      </c>
      <c r="C358" s="23" t="s">
        <v>164</v>
      </c>
      <c r="D358" s="24" t="s">
        <v>155</v>
      </c>
      <c r="E358" s="24">
        <v>0</v>
      </c>
      <c r="F358" s="24">
        <v>3</v>
      </c>
      <c r="G358" s="24"/>
      <c r="H358" s="24"/>
    </row>
    <row r="359" spans="1:8" ht="15" customHeight="1" x14ac:dyDescent="0.3">
      <c r="A359" s="34" t="s">
        <v>853</v>
      </c>
      <c r="B359" s="35" t="s">
        <v>854</v>
      </c>
      <c r="C359" s="35" t="s">
        <v>309</v>
      </c>
      <c r="D359" s="34" t="s">
        <v>155</v>
      </c>
      <c r="E359" s="34">
        <v>0</v>
      </c>
      <c r="F359" s="34">
        <v>1</v>
      </c>
      <c r="G359" s="34"/>
      <c r="H359" s="34"/>
    </row>
    <row r="360" spans="1:8" ht="15" customHeight="1" x14ac:dyDescent="0.3">
      <c r="A360" s="24" t="s">
        <v>855</v>
      </c>
      <c r="B360" s="23" t="s">
        <v>856</v>
      </c>
      <c r="C360" s="23" t="s">
        <v>164</v>
      </c>
      <c r="D360" s="24" t="s">
        <v>155</v>
      </c>
      <c r="E360" s="24">
        <v>0</v>
      </c>
      <c r="F360" s="24">
        <v>6</v>
      </c>
      <c r="G360" s="24"/>
      <c r="H360" s="24"/>
    </row>
    <row r="361" spans="1:8" ht="15" customHeight="1" x14ac:dyDescent="0.3">
      <c r="A361" s="34" t="s">
        <v>857</v>
      </c>
      <c r="B361" s="35" t="s">
        <v>858</v>
      </c>
      <c r="C361" s="35" t="s">
        <v>164</v>
      </c>
      <c r="D361" s="34" t="s">
        <v>155</v>
      </c>
      <c r="E361" s="34">
        <v>0</v>
      </c>
      <c r="F361" s="34">
        <v>4</v>
      </c>
      <c r="G361" s="34"/>
      <c r="H361" s="34"/>
    </row>
    <row r="362" spans="1:8" ht="15" customHeight="1" x14ac:dyDescent="0.3">
      <c r="A362" s="24" t="s">
        <v>859</v>
      </c>
      <c r="B362" s="23" t="s">
        <v>860</v>
      </c>
      <c r="C362" s="23" t="s">
        <v>164</v>
      </c>
      <c r="D362" s="24" t="s">
        <v>155</v>
      </c>
      <c r="E362" s="24">
        <v>0</v>
      </c>
      <c r="F362" s="24">
        <v>1</v>
      </c>
      <c r="G362" s="24"/>
      <c r="H362" s="24"/>
    </row>
    <row r="363" spans="1:8" ht="15" customHeight="1" x14ac:dyDescent="0.3">
      <c r="A363" s="34" t="s">
        <v>861</v>
      </c>
      <c r="B363" s="35" t="s">
        <v>862</v>
      </c>
      <c r="C363" s="35" t="s">
        <v>309</v>
      </c>
      <c r="D363" s="34" t="s">
        <v>155</v>
      </c>
      <c r="E363" s="34">
        <v>10</v>
      </c>
      <c r="F363" s="34">
        <v>6</v>
      </c>
      <c r="G363" s="34"/>
      <c r="H363" s="34"/>
    </row>
    <row r="364" spans="1:8" ht="15" customHeight="1" x14ac:dyDescent="0.3">
      <c r="A364" s="24" t="s">
        <v>863</v>
      </c>
      <c r="B364" s="23" t="s">
        <v>864</v>
      </c>
      <c r="C364" s="23" t="s">
        <v>416</v>
      </c>
      <c r="D364" s="24" t="s">
        <v>155</v>
      </c>
      <c r="E364" s="24">
        <v>0</v>
      </c>
      <c r="F364" s="24">
        <v>2</v>
      </c>
      <c r="G364" s="24"/>
      <c r="H364" s="24"/>
    </row>
    <row r="365" spans="1:8" ht="15" customHeight="1" x14ac:dyDescent="0.3">
      <c r="A365" s="34" t="s">
        <v>865</v>
      </c>
      <c r="B365" s="35" t="s">
        <v>866</v>
      </c>
      <c r="C365" s="35" t="s">
        <v>164</v>
      </c>
      <c r="D365" s="34" t="s">
        <v>155</v>
      </c>
      <c r="E365" s="34">
        <v>0</v>
      </c>
      <c r="F365" s="34">
        <v>1</v>
      </c>
      <c r="G365" s="34"/>
      <c r="H365" s="34"/>
    </row>
    <row r="366" spans="1:8" ht="15" customHeight="1" x14ac:dyDescent="0.3">
      <c r="A366" s="24" t="s">
        <v>867</v>
      </c>
      <c r="B366" s="23" t="s">
        <v>868</v>
      </c>
      <c r="C366" s="23" t="s">
        <v>213</v>
      </c>
      <c r="D366" s="24" t="s">
        <v>155</v>
      </c>
      <c r="E366" s="24">
        <v>0</v>
      </c>
      <c r="F366" s="24">
        <v>2</v>
      </c>
      <c r="G366" s="24"/>
      <c r="H366" s="24"/>
    </row>
    <row r="367" spans="1:8" ht="15" customHeight="1" x14ac:dyDescent="0.3">
      <c r="A367" s="34" t="s">
        <v>869</v>
      </c>
      <c r="B367" s="35" t="s">
        <v>870</v>
      </c>
      <c r="C367" s="35" t="s">
        <v>158</v>
      </c>
      <c r="D367" s="34" t="s">
        <v>155</v>
      </c>
      <c r="E367" s="34">
        <v>0</v>
      </c>
      <c r="F367" s="34">
        <v>1</v>
      </c>
      <c r="G367" s="34"/>
      <c r="H367" s="34"/>
    </row>
    <row r="368" spans="1:8" ht="15" customHeight="1" x14ac:dyDescent="0.3">
      <c r="A368" s="24" t="s">
        <v>871</v>
      </c>
      <c r="B368" s="23" t="s">
        <v>872</v>
      </c>
      <c r="C368" s="23" t="s">
        <v>635</v>
      </c>
      <c r="D368" s="24" t="s">
        <v>155</v>
      </c>
      <c r="E368" s="24">
        <v>0</v>
      </c>
      <c r="F368" s="24">
        <v>4</v>
      </c>
      <c r="G368" s="24"/>
      <c r="H368" s="24"/>
    </row>
    <row r="369" spans="1:8" ht="15" customHeight="1" x14ac:dyDescent="0.3">
      <c r="A369" s="34" t="s">
        <v>873</v>
      </c>
      <c r="B369" s="35" t="s">
        <v>874</v>
      </c>
      <c r="C369" s="35" t="s">
        <v>158</v>
      </c>
      <c r="D369" s="34" t="s">
        <v>155</v>
      </c>
      <c r="E369" s="34">
        <v>0</v>
      </c>
      <c r="F369" s="34">
        <v>2</v>
      </c>
      <c r="G369" s="34"/>
      <c r="H369" s="34"/>
    </row>
    <row r="370" spans="1:8" ht="15" customHeight="1" x14ac:dyDescent="0.3">
      <c r="A370" s="24" t="s">
        <v>875</v>
      </c>
      <c r="B370" s="23" t="s">
        <v>876</v>
      </c>
      <c r="C370" s="23" t="s">
        <v>158</v>
      </c>
      <c r="D370" s="24" t="s">
        <v>155</v>
      </c>
      <c r="E370" s="24">
        <v>0</v>
      </c>
      <c r="F370" s="24">
        <v>1</v>
      </c>
      <c r="G370" s="24"/>
      <c r="H370" s="24"/>
    </row>
    <row r="371" spans="1:8" ht="15" customHeight="1" x14ac:dyDescent="0.3">
      <c r="A371" s="34" t="s">
        <v>877</v>
      </c>
      <c r="B371" s="35" t="s">
        <v>878</v>
      </c>
      <c r="C371" s="35" t="s">
        <v>164</v>
      </c>
      <c r="D371" s="34" t="s">
        <v>155</v>
      </c>
      <c r="E371" s="34">
        <v>0</v>
      </c>
      <c r="F371" s="34">
        <v>5</v>
      </c>
      <c r="G371" s="34"/>
      <c r="H371" s="34"/>
    </row>
    <row r="372" spans="1:8" ht="15" customHeight="1" x14ac:dyDescent="0.3">
      <c r="A372" s="24" t="s">
        <v>879</v>
      </c>
      <c r="B372" s="23" t="s">
        <v>880</v>
      </c>
      <c r="C372" s="23" t="s">
        <v>309</v>
      </c>
      <c r="D372" s="24" t="s">
        <v>155</v>
      </c>
      <c r="E372" s="24">
        <v>0</v>
      </c>
      <c r="F372" s="24">
        <v>3</v>
      </c>
      <c r="G372" s="24"/>
      <c r="H372" s="24"/>
    </row>
    <row r="373" spans="1:8" ht="15" customHeight="1" x14ac:dyDescent="0.3">
      <c r="A373" s="34" t="s">
        <v>881</v>
      </c>
      <c r="B373" s="35" t="s">
        <v>882</v>
      </c>
      <c r="C373" s="35" t="s">
        <v>216</v>
      </c>
      <c r="D373" s="34" t="s">
        <v>155</v>
      </c>
      <c r="E373" s="34">
        <v>0</v>
      </c>
      <c r="F373" s="34">
        <v>2</v>
      </c>
      <c r="G373" s="34"/>
      <c r="H373" s="34"/>
    </row>
    <row r="374" spans="1:8" ht="15" customHeight="1" x14ac:dyDescent="0.3">
      <c r="A374" s="24" t="s">
        <v>883</v>
      </c>
      <c r="B374" s="23" t="s">
        <v>884</v>
      </c>
      <c r="C374" s="23" t="s">
        <v>198</v>
      </c>
      <c r="D374" s="24" t="s">
        <v>155</v>
      </c>
      <c r="E374" s="24">
        <v>0</v>
      </c>
      <c r="F374" s="24">
        <v>3</v>
      </c>
      <c r="G374" s="24"/>
      <c r="H374" s="24"/>
    </row>
    <row r="375" spans="1:8" ht="15" customHeight="1" x14ac:dyDescent="0.3">
      <c r="A375" s="34" t="s">
        <v>885</v>
      </c>
      <c r="B375" s="35" t="s">
        <v>886</v>
      </c>
      <c r="C375" s="35" t="s">
        <v>198</v>
      </c>
      <c r="D375" s="34" t="s">
        <v>155</v>
      </c>
      <c r="E375" s="34">
        <v>0</v>
      </c>
      <c r="F375" s="34">
        <v>1</v>
      </c>
      <c r="G375" s="34"/>
      <c r="H375" s="34"/>
    </row>
    <row r="376" spans="1:8" ht="15" customHeight="1" x14ac:dyDescent="0.3">
      <c r="A376" s="24" t="s">
        <v>887</v>
      </c>
      <c r="B376" s="23" t="s">
        <v>888</v>
      </c>
      <c r="C376" s="23" t="s">
        <v>164</v>
      </c>
      <c r="D376" s="24" t="s">
        <v>155</v>
      </c>
      <c r="E376" s="24">
        <v>1</v>
      </c>
      <c r="F376" s="24">
        <v>2</v>
      </c>
      <c r="G376" s="24"/>
      <c r="H376" s="24"/>
    </row>
    <row r="377" spans="1:8" ht="15" customHeight="1" x14ac:dyDescent="0.3">
      <c r="A377" s="34" t="s">
        <v>889</v>
      </c>
      <c r="B377" s="35" t="s">
        <v>890</v>
      </c>
      <c r="C377" s="35" t="s">
        <v>198</v>
      </c>
      <c r="D377" s="34" t="s">
        <v>155</v>
      </c>
      <c r="E377" s="34">
        <v>7</v>
      </c>
      <c r="F377" s="34">
        <v>5</v>
      </c>
      <c r="G377" s="34"/>
      <c r="H377" s="34"/>
    </row>
    <row r="378" spans="1:8" ht="15" customHeight="1" x14ac:dyDescent="0.3">
      <c r="A378" s="24" t="s">
        <v>891</v>
      </c>
      <c r="B378" s="23" t="s">
        <v>892</v>
      </c>
      <c r="C378" s="23" t="s">
        <v>225</v>
      </c>
      <c r="D378" s="24" t="s">
        <v>155</v>
      </c>
      <c r="E378" s="24">
        <v>0</v>
      </c>
      <c r="F378" s="24">
        <v>3</v>
      </c>
      <c r="G378" s="24"/>
      <c r="H378" s="24"/>
    </row>
    <row r="379" spans="1:8" ht="15" customHeight="1" x14ac:dyDescent="0.3">
      <c r="A379" s="34" t="s">
        <v>65</v>
      </c>
      <c r="B379" s="35" t="s">
        <v>893</v>
      </c>
      <c r="C379" s="35" t="s">
        <v>158</v>
      </c>
      <c r="D379" s="34" t="s">
        <v>155</v>
      </c>
      <c r="E379" s="34">
        <v>11</v>
      </c>
      <c r="F379" s="34">
        <v>1</v>
      </c>
      <c r="G379" s="34"/>
      <c r="H379" s="34"/>
    </row>
    <row r="380" spans="1:8" ht="15" customHeight="1" x14ac:dyDescent="0.3">
      <c r="A380" s="24" t="s">
        <v>894</v>
      </c>
      <c r="B380" s="23" t="s">
        <v>895</v>
      </c>
      <c r="C380" s="23" t="s">
        <v>164</v>
      </c>
      <c r="D380" s="24" t="s">
        <v>155</v>
      </c>
      <c r="E380" s="24">
        <v>0</v>
      </c>
      <c r="F380" s="24">
        <v>2</v>
      </c>
      <c r="G380" s="24"/>
      <c r="H380" s="24"/>
    </row>
    <row r="381" spans="1:8" ht="15" customHeight="1" x14ac:dyDescent="0.3">
      <c r="A381" s="34" t="s">
        <v>896</v>
      </c>
      <c r="B381" s="35" t="s">
        <v>897</v>
      </c>
      <c r="C381" s="35" t="s">
        <v>185</v>
      </c>
      <c r="D381" s="34" t="s">
        <v>155</v>
      </c>
      <c r="E381" s="34">
        <v>2</v>
      </c>
      <c r="F381" s="34">
        <v>3</v>
      </c>
      <c r="G381" s="34"/>
      <c r="H381" s="34"/>
    </row>
    <row r="382" spans="1:8" ht="15" customHeight="1" x14ac:dyDescent="0.3">
      <c r="A382" s="24" t="s">
        <v>898</v>
      </c>
      <c r="B382" s="23" t="s">
        <v>899</v>
      </c>
      <c r="C382" s="23" t="s">
        <v>185</v>
      </c>
      <c r="D382" s="24" t="s">
        <v>155</v>
      </c>
      <c r="E382" s="24">
        <v>0</v>
      </c>
      <c r="F382" s="24">
        <v>2</v>
      </c>
      <c r="G382" s="24"/>
      <c r="H382" s="24"/>
    </row>
    <row r="383" spans="1:8" ht="15" customHeight="1" x14ac:dyDescent="0.3">
      <c r="A383" s="34" t="s">
        <v>900</v>
      </c>
      <c r="B383" s="35" t="s">
        <v>901</v>
      </c>
      <c r="C383" s="35" t="s">
        <v>198</v>
      </c>
      <c r="D383" s="34" t="s">
        <v>155</v>
      </c>
      <c r="E383" s="34">
        <v>0</v>
      </c>
      <c r="F383" s="34">
        <v>6</v>
      </c>
      <c r="G383" s="34"/>
      <c r="H383" s="34"/>
    </row>
    <row r="384" spans="1:8" ht="15" customHeight="1" x14ac:dyDescent="0.3">
      <c r="A384" s="24" t="s">
        <v>902</v>
      </c>
      <c r="B384" s="23" t="s">
        <v>903</v>
      </c>
      <c r="C384" s="23" t="s">
        <v>309</v>
      </c>
      <c r="D384" s="24" t="s">
        <v>155</v>
      </c>
      <c r="E384" s="24">
        <v>0</v>
      </c>
      <c r="F384" s="24">
        <v>1</v>
      </c>
      <c r="G384" s="24"/>
      <c r="H384" s="24"/>
    </row>
    <row r="385" spans="1:8" ht="15" customHeight="1" x14ac:dyDescent="0.3">
      <c r="A385" s="34" t="s">
        <v>904</v>
      </c>
      <c r="B385" s="35" t="s">
        <v>905</v>
      </c>
      <c r="C385" s="35" t="s">
        <v>164</v>
      </c>
      <c r="D385" s="34" t="s">
        <v>155</v>
      </c>
      <c r="E385" s="34">
        <v>0</v>
      </c>
      <c r="F385" s="34">
        <v>4</v>
      </c>
      <c r="G385" s="34"/>
      <c r="H385" s="34"/>
    </row>
    <row r="386" spans="1:8" ht="15" customHeight="1" x14ac:dyDescent="0.3">
      <c r="A386" s="24" t="s">
        <v>906</v>
      </c>
      <c r="B386" s="23" t="s">
        <v>907</v>
      </c>
      <c r="C386" s="23" t="s">
        <v>198</v>
      </c>
      <c r="D386" s="24" t="s">
        <v>155</v>
      </c>
      <c r="E386" s="24">
        <v>1</v>
      </c>
      <c r="F386" s="24">
        <v>6</v>
      </c>
      <c r="G386" s="24"/>
      <c r="H386" s="24"/>
    </row>
    <row r="387" spans="1:8" ht="15" customHeight="1" x14ac:dyDescent="0.3">
      <c r="A387" s="34" t="s">
        <v>908</v>
      </c>
      <c r="B387" s="35" t="s">
        <v>909</v>
      </c>
      <c r="C387" s="35" t="s">
        <v>561</v>
      </c>
      <c r="D387" s="34" t="s">
        <v>155</v>
      </c>
      <c r="E387" s="34">
        <v>0</v>
      </c>
      <c r="F387" s="34">
        <v>3</v>
      </c>
      <c r="G387" s="34"/>
      <c r="H387" s="34"/>
    </row>
    <row r="388" spans="1:8" ht="15" customHeight="1" x14ac:dyDescent="0.3">
      <c r="A388" s="24" t="s">
        <v>910</v>
      </c>
      <c r="B388" s="23" t="s">
        <v>911</v>
      </c>
      <c r="C388" s="23" t="s">
        <v>164</v>
      </c>
      <c r="D388" s="24" t="s">
        <v>155</v>
      </c>
      <c r="E388" s="24">
        <v>0</v>
      </c>
      <c r="F388" s="24">
        <v>2</v>
      </c>
      <c r="G388" s="24"/>
      <c r="H388" s="24"/>
    </row>
    <row r="389" spans="1:8" ht="15" customHeight="1" x14ac:dyDescent="0.3">
      <c r="A389" s="34" t="s">
        <v>912</v>
      </c>
      <c r="B389" s="35" t="s">
        <v>913</v>
      </c>
      <c r="C389" s="35" t="s">
        <v>164</v>
      </c>
      <c r="D389" s="34" t="s">
        <v>155</v>
      </c>
      <c r="E389" s="34">
        <v>5</v>
      </c>
      <c r="F389" s="34">
        <v>4</v>
      </c>
      <c r="G389" s="34"/>
      <c r="H389" s="34"/>
    </row>
    <row r="390" spans="1:8" ht="15" customHeight="1" x14ac:dyDescent="0.3">
      <c r="A390" s="24" t="s">
        <v>914</v>
      </c>
      <c r="B390" s="23" t="s">
        <v>915</v>
      </c>
      <c r="C390" s="23" t="s">
        <v>158</v>
      </c>
      <c r="D390" s="24" t="s">
        <v>155</v>
      </c>
      <c r="E390" s="24">
        <v>1</v>
      </c>
      <c r="F390" s="24">
        <v>4</v>
      </c>
      <c r="G390" s="24"/>
      <c r="H390" s="24"/>
    </row>
    <row r="391" spans="1:8" ht="15" customHeight="1" x14ac:dyDescent="0.3">
      <c r="A391" s="34" t="s">
        <v>916</v>
      </c>
      <c r="B391" s="35" t="s">
        <v>917</v>
      </c>
      <c r="C391" s="35" t="s">
        <v>225</v>
      </c>
      <c r="D391" s="34" t="s">
        <v>155</v>
      </c>
      <c r="E391" s="34">
        <v>0</v>
      </c>
      <c r="F391" s="34">
        <v>1</v>
      </c>
      <c r="G391" s="34"/>
      <c r="H391" s="34"/>
    </row>
    <row r="392" spans="1:8" ht="15" customHeight="1" x14ac:dyDescent="0.3">
      <c r="A392" s="24" t="s">
        <v>918</v>
      </c>
      <c r="B392" s="23" t="s">
        <v>919</v>
      </c>
      <c r="C392" s="23" t="s">
        <v>309</v>
      </c>
      <c r="D392" s="24" t="s">
        <v>155</v>
      </c>
      <c r="E392" s="24">
        <v>1</v>
      </c>
      <c r="F392" s="24">
        <v>3</v>
      </c>
      <c r="G392" s="24"/>
      <c r="H392" s="24"/>
    </row>
    <row r="393" spans="1:8" ht="15" customHeight="1" x14ac:dyDescent="0.3">
      <c r="A393" s="34" t="s">
        <v>920</v>
      </c>
      <c r="B393" s="35" t="s">
        <v>921</v>
      </c>
      <c r="C393" s="35" t="s">
        <v>213</v>
      </c>
      <c r="D393" s="34" t="s">
        <v>155</v>
      </c>
      <c r="E393" s="34">
        <v>3</v>
      </c>
      <c r="F393" s="34">
        <v>4</v>
      </c>
      <c r="G393" s="34"/>
      <c r="H393" s="34"/>
    </row>
    <row r="394" spans="1:8" ht="15" customHeight="1" x14ac:dyDescent="0.3">
      <c r="A394" s="24" t="s">
        <v>922</v>
      </c>
      <c r="B394" s="23" t="s">
        <v>923</v>
      </c>
      <c r="C394" s="23" t="s">
        <v>309</v>
      </c>
      <c r="D394" s="24" t="s">
        <v>155</v>
      </c>
      <c r="E394" s="24">
        <v>3</v>
      </c>
      <c r="F394" s="24">
        <v>5</v>
      </c>
      <c r="G394" s="24"/>
      <c r="H394" s="24"/>
    </row>
    <row r="395" spans="1:8" ht="15" customHeight="1" x14ac:dyDescent="0.3">
      <c r="A395" s="34" t="s">
        <v>924</v>
      </c>
      <c r="B395" s="35" t="s">
        <v>925</v>
      </c>
      <c r="C395" s="35" t="s">
        <v>164</v>
      </c>
      <c r="D395" s="34" t="s">
        <v>155</v>
      </c>
      <c r="E395" s="34">
        <v>0</v>
      </c>
      <c r="F395" s="34">
        <v>4</v>
      </c>
      <c r="G395" s="34"/>
      <c r="H395" s="34"/>
    </row>
    <row r="396" spans="1:8" ht="15" customHeight="1" x14ac:dyDescent="0.3">
      <c r="A396" s="24" t="s">
        <v>926</v>
      </c>
      <c r="B396" s="23" t="s">
        <v>927</v>
      </c>
      <c r="C396" s="23" t="s">
        <v>164</v>
      </c>
      <c r="D396" s="24" t="s">
        <v>155</v>
      </c>
      <c r="E396" s="24">
        <v>0</v>
      </c>
      <c r="F396" s="24">
        <v>1</v>
      </c>
      <c r="G396" s="24"/>
      <c r="H396" s="24"/>
    </row>
    <row r="397" spans="1:8" ht="15" customHeight="1" x14ac:dyDescent="0.3">
      <c r="A397" s="34" t="s">
        <v>928</v>
      </c>
      <c r="B397" s="35" t="s">
        <v>929</v>
      </c>
      <c r="C397" s="35" t="s">
        <v>833</v>
      </c>
      <c r="D397" s="34" t="s">
        <v>155</v>
      </c>
      <c r="E397" s="34">
        <v>0</v>
      </c>
      <c r="F397" s="34">
        <v>1</v>
      </c>
      <c r="G397" s="34"/>
      <c r="H397" s="34"/>
    </row>
    <row r="398" spans="1:8" ht="15" customHeight="1" x14ac:dyDescent="0.3">
      <c r="A398" s="24" t="s">
        <v>930</v>
      </c>
      <c r="B398" s="23" t="s">
        <v>931</v>
      </c>
      <c r="C398" s="23" t="s">
        <v>158</v>
      </c>
      <c r="D398" s="24" t="s">
        <v>155</v>
      </c>
      <c r="E398" s="24">
        <v>0</v>
      </c>
      <c r="F398" s="24">
        <v>1</v>
      </c>
      <c r="G398" s="24"/>
      <c r="H398" s="24"/>
    </row>
    <row r="399" spans="1:8" ht="15" customHeight="1" x14ac:dyDescent="0.3">
      <c r="A399" s="34" t="s">
        <v>932</v>
      </c>
      <c r="B399" s="35" t="s">
        <v>933</v>
      </c>
      <c r="C399" s="35" t="s">
        <v>158</v>
      </c>
      <c r="D399" s="34" t="s">
        <v>155</v>
      </c>
      <c r="E399" s="34">
        <v>0</v>
      </c>
      <c r="F399" s="34">
        <v>3</v>
      </c>
      <c r="G399" s="34"/>
      <c r="H399" s="34"/>
    </row>
    <row r="400" spans="1:8" ht="15" customHeight="1" x14ac:dyDescent="0.3">
      <c r="A400" s="24" t="s">
        <v>934</v>
      </c>
      <c r="B400" s="23" t="s">
        <v>935</v>
      </c>
      <c r="C400" s="23" t="s">
        <v>164</v>
      </c>
      <c r="D400" s="24" t="s">
        <v>155</v>
      </c>
      <c r="E400" s="24">
        <v>0</v>
      </c>
      <c r="F400" s="24">
        <v>2</v>
      </c>
      <c r="G400" s="24"/>
      <c r="H400" s="24"/>
    </row>
    <row r="401" spans="1:8" ht="15" customHeight="1" x14ac:dyDescent="0.3">
      <c r="A401" s="34" t="s">
        <v>936</v>
      </c>
      <c r="B401" s="35" t="s">
        <v>937</v>
      </c>
      <c r="C401" s="35" t="s">
        <v>185</v>
      </c>
      <c r="D401" s="34" t="s">
        <v>155</v>
      </c>
      <c r="E401" s="34">
        <v>0</v>
      </c>
      <c r="F401" s="34">
        <v>1</v>
      </c>
      <c r="G401" s="34"/>
      <c r="H401" s="34"/>
    </row>
    <row r="402" spans="1:8" ht="15" customHeight="1" x14ac:dyDescent="0.3">
      <c r="A402" s="24" t="s">
        <v>938</v>
      </c>
      <c r="B402" s="23" t="s">
        <v>939</v>
      </c>
      <c r="C402" s="23" t="s">
        <v>198</v>
      </c>
      <c r="D402" s="24" t="s">
        <v>155</v>
      </c>
      <c r="E402" s="24">
        <v>0</v>
      </c>
      <c r="F402" s="24">
        <v>1</v>
      </c>
      <c r="G402" s="24"/>
      <c r="H402" s="24"/>
    </row>
    <row r="403" spans="1:8" ht="15" customHeight="1" x14ac:dyDescent="0.3">
      <c r="A403" s="34" t="s">
        <v>940</v>
      </c>
      <c r="B403" s="35" t="s">
        <v>941</v>
      </c>
      <c r="C403" s="35" t="s">
        <v>158</v>
      </c>
      <c r="D403" s="34" t="s">
        <v>155</v>
      </c>
      <c r="E403" s="34">
        <v>2</v>
      </c>
      <c r="F403" s="34">
        <v>2</v>
      </c>
      <c r="G403" s="34"/>
      <c r="H403" s="34"/>
    </row>
    <row r="404" spans="1:8" ht="15" customHeight="1" x14ac:dyDescent="0.3">
      <c r="A404" s="24" t="s">
        <v>942</v>
      </c>
      <c r="B404" s="23" t="s">
        <v>943</v>
      </c>
      <c r="C404" s="23" t="s">
        <v>164</v>
      </c>
      <c r="D404" s="24" t="s">
        <v>155</v>
      </c>
      <c r="E404" s="24">
        <v>248</v>
      </c>
      <c r="F404" s="24">
        <v>7</v>
      </c>
      <c r="G404" s="24"/>
      <c r="H404" s="24"/>
    </row>
    <row r="405" spans="1:8" ht="15" customHeight="1" x14ac:dyDescent="0.3">
      <c r="A405" s="34" t="s">
        <v>944</v>
      </c>
      <c r="B405" s="35" t="s">
        <v>945</v>
      </c>
      <c r="C405" s="35" t="s">
        <v>158</v>
      </c>
      <c r="D405" s="34" t="s">
        <v>155</v>
      </c>
      <c r="E405" s="34">
        <v>0</v>
      </c>
      <c r="F405" s="34">
        <v>5</v>
      </c>
      <c r="G405" s="34"/>
      <c r="H405" s="34"/>
    </row>
    <row r="406" spans="1:8" ht="15" customHeight="1" x14ac:dyDescent="0.3">
      <c r="A406" s="24" t="s">
        <v>946</v>
      </c>
      <c r="B406" s="23" t="s">
        <v>947</v>
      </c>
      <c r="C406" s="23" t="s">
        <v>164</v>
      </c>
      <c r="D406" s="24" t="s">
        <v>155</v>
      </c>
      <c r="E406" s="24">
        <v>0</v>
      </c>
      <c r="F406" s="24">
        <v>4</v>
      </c>
      <c r="G406" s="24"/>
      <c r="H406" s="24"/>
    </row>
    <row r="407" spans="1:8" ht="15" customHeight="1" x14ac:dyDescent="0.3">
      <c r="A407" s="34" t="s">
        <v>948</v>
      </c>
      <c r="B407" s="35" t="s">
        <v>949</v>
      </c>
      <c r="C407" s="35" t="s">
        <v>164</v>
      </c>
      <c r="D407" s="34" t="s">
        <v>155</v>
      </c>
      <c r="E407" s="34">
        <v>0</v>
      </c>
      <c r="F407" s="34">
        <v>2</v>
      </c>
      <c r="G407" s="34"/>
      <c r="H407" s="34"/>
    </row>
    <row r="408" spans="1:8" ht="15" customHeight="1" x14ac:dyDescent="0.3">
      <c r="A408" s="24" t="s">
        <v>950</v>
      </c>
      <c r="B408" s="23" t="s">
        <v>951</v>
      </c>
      <c r="C408" s="23" t="s">
        <v>164</v>
      </c>
      <c r="D408" s="24" t="s">
        <v>155</v>
      </c>
      <c r="E408" s="24">
        <v>0</v>
      </c>
      <c r="F408" s="24">
        <v>1</v>
      </c>
      <c r="G408" s="24"/>
      <c r="H408" s="24"/>
    </row>
    <row r="409" spans="1:8" ht="15" customHeight="1" x14ac:dyDescent="0.3">
      <c r="A409" s="34" t="s">
        <v>952</v>
      </c>
      <c r="B409" s="35" t="s">
        <v>953</v>
      </c>
      <c r="C409" s="35" t="s">
        <v>416</v>
      </c>
      <c r="D409" s="34" t="s">
        <v>155</v>
      </c>
      <c r="E409" s="34">
        <v>0</v>
      </c>
      <c r="F409" s="34">
        <v>1</v>
      </c>
      <c r="G409" s="34"/>
      <c r="H409" s="34"/>
    </row>
    <row r="410" spans="1:8" ht="15" customHeight="1" x14ac:dyDescent="0.3">
      <c r="A410" s="24" t="s">
        <v>954</v>
      </c>
      <c r="B410" s="23" t="s">
        <v>955</v>
      </c>
      <c r="C410" s="23" t="s">
        <v>158</v>
      </c>
      <c r="D410" s="24" t="s">
        <v>155</v>
      </c>
      <c r="E410" s="24">
        <v>0</v>
      </c>
      <c r="F410" s="24">
        <v>1</v>
      </c>
      <c r="G410" s="24"/>
      <c r="H410" s="24"/>
    </row>
    <row r="411" spans="1:8" ht="15" customHeight="1" x14ac:dyDescent="0.3">
      <c r="A411" s="34" t="s">
        <v>956</v>
      </c>
      <c r="B411" s="35" t="s">
        <v>957</v>
      </c>
      <c r="C411" s="35" t="s">
        <v>158</v>
      </c>
      <c r="D411" s="34" t="s">
        <v>155</v>
      </c>
      <c r="E411" s="34">
        <v>0</v>
      </c>
      <c r="F411" s="34">
        <v>1</v>
      </c>
      <c r="G411" s="34"/>
      <c r="H411" s="34"/>
    </row>
    <row r="412" spans="1:8" ht="15" customHeight="1" x14ac:dyDescent="0.3">
      <c r="A412" s="24" t="s">
        <v>958</v>
      </c>
      <c r="B412" s="23" t="s">
        <v>959</v>
      </c>
      <c r="C412" s="23" t="s">
        <v>225</v>
      </c>
      <c r="D412" s="24" t="s">
        <v>155</v>
      </c>
      <c r="E412" s="24">
        <v>0</v>
      </c>
      <c r="F412" s="24">
        <v>1</v>
      </c>
      <c r="G412" s="24"/>
      <c r="H412" s="24"/>
    </row>
    <row r="413" spans="1:8" ht="15" customHeight="1" x14ac:dyDescent="0.3">
      <c r="A413" s="34" t="s">
        <v>960</v>
      </c>
      <c r="B413" s="35" t="s">
        <v>961</v>
      </c>
      <c r="C413" s="35" t="s">
        <v>198</v>
      </c>
      <c r="D413" s="34" t="s">
        <v>155</v>
      </c>
      <c r="E413" s="34">
        <v>0</v>
      </c>
      <c r="F413" s="34">
        <v>1</v>
      </c>
      <c r="G413" s="34"/>
      <c r="H413" s="34"/>
    </row>
    <row r="414" spans="1:8" ht="15" customHeight="1" x14ac:dyDescent="0.3">
      <c r="A414" s="24" t="s">
        <v>962</v>
      </c>
      <c r="B414" s="23" t="s">
        <v>963</v>
      </c>
      <c r="C414" s="23" t="s">
        <v>164</v>
      </c>
      <c r="D414" s="24" t="s">
        <v>155</v>
      </c>
      <c r="E414" s="24">
        <v>0</v>
      </c>
      <c r="F414" s="24">
        <v>4</v>
      </c>
      <c r="G414" s="24"/>
      <c r="H414" s="24"/>
    </row>
    <row r="415" spans="1:8" ht="15" customHeight="1" x14ac:dyDescent="0.3">
      <c r="A415" s="34" t="s">
        <v>964</v>
      </c>
      <c r="B415" s="35" t="s">
        <v>965</v>
      </c>
      <c r="C415" s="35" t="s">
        <v>158</v>
      </c>
      <c r="D415" s="34" t="s">
        <v>155</v>
      </c>
      <c r="E415" s="34">
        <v>0</v>
      </c>
      <c r="F415" s="34">
        <v>3</v>
      </c>
      <c r="G415" s="34"/>
      <c r="H415" s="34"/>
    </row>
    <row r="416" spans="1:8" ht="15" customHeight="1" x14ac:dyDescent="0.3">
      <c r="A416" s="24" t="s">
        <v>966</v>
      </c>
      <c r="B416" s="23" t="s">
        <v>967</v>
      </c>
      <c r="C416" s="23" t="s">
        <v>158</v>
      </c>
      <c r="D416" s="24" t="s">
        <v>155</v>
      </c>
      <c r="E416" s="24">
        <v>0</v>
      </c>
      <c r="F416" s="24">
        <v>1</v>
      </c>
      <c r="G416" s="24"/>
      <c r="H416" s="24"/>
    </row>
    <row r="417" spans="1:8" ht="15" customHeight="1" x14ac:dyDescent="0.3">
      <c r="A417" s="34" t="s">
        <v>968</v>
      </c>
      <c r="B417" s="35" t="s">
        <v>969</v>
      </c>
      <c r="C417" s="35" t="s">
        <v>225</v>
      </c>
      <c r="D417" s="34" t="s">
        <v>155</v>
      </c>
      <c r="E417" s="34">
        <v>0</v>
      </c>
      <c r="F417" s="34">
        <v>2</v>
      </c>
      <c r="G417" s="34"/>
      <c r="H417" s="34"/>
    </row>
    <row r="418" spans="1:8" ht="15" customHeight="1" x14ac:dyDescent="0.3">
      <c r="A418" s="24" t="s">
        <v>970</v>
      </c>
      <c r="B418" s="23" t="s">
        <v>971</v>
      </c>
      <c r="C418" s="23" t="s">
        <v>158</v>
      </c>
      <c r="D418" s="24" t="s">
        <v>155</v>
      </c>
      <c r="E418" s="24">
        <v>0</v>
      </c>
      <c r="F418" s="24">
        <v>1</v>
      </c>
      <c r="G418" s="24"/>
      <c r="H418" s="24"/>
    </row>
    <row r="419" spans="1:8" ht="15" customHeight="1" x14ac:dyDescent="0.3">
      <c r="A419" s="34" t="s">
        <v>972</v>
      </c>
      <c r="B419" s="35" t="s">
        <v>973</v>
      </c>
      <c r="C419" s="35" t="s">
        <v>225</v>
      </c>
      <c r="D419" s="34" t="s">
        <v>155</v>
      </c>
      <c r="E419" s="34">
        <v>0</v>
      </c>
      <c r="F419" s="34">
        <v>3</v>
      </c>
      <c r="G419" s="34"/>
      <c r="H419" s="34"/>
    </row>
    <row r="420" spans="1:8" ht="15" customHeight="1" x14ac:dyDescent="0.3">
      <c r="A420" s="24" t="s">
        <v>974</v>
      </c>
      <c r="B420" s="23" t="s">
        <v>975</v>
      </c>
      <c r="C420" s="23" t="s">
        <v>158</v>
      </c>
      <c r="D420" s="24" t="s">
        <v>155</v>
      </c>
      <c r="E420" s="24">
        <v>0</v>
      </c>
      <c r="F420" s="24">
        <v>3</v>
      </c>
      <c r="G420" s="24"/>
      <c r="H420" s="24"/>
    </row>
    <row r="421" spans="1:8" ht="15" customHeight="1" x14ac:dyDescent="0.3">
      <c r="A421" s="34" t="s">
        <v>67</v>
      </c>
      <c r="B421" s="35" t="s">
        <v>976</v>
      </c>
      <c r="C421" s="35" t="s">
        <v>164</v>
      </c>
      <c r="D421" s="34" t="s">
        <v>155</v>
      </c>
      <c r="E421" s="34">
        <v>1</v>
      </c>
      <c r="F421" s="34">
        <v>4</v>
      </c>
      <c r="G421" s="34"/>
      <c r="H421" s="34"/>
    </row>
    <row r="422" spans="1:8" ht="15" customHeight="1" x14ac:dyDescent="0.3">
      <c r="A422" s="24" t="s">
        <v>977</v>
      </c>
      <c r="B422" s="23" t="s">
        <v>978</v>
      </c>
      <c r="C422" s="23" t="s">
        <v>171</v>
      </c>
      <c r="D422" s="24" t="s">
        <v>155</v>
      </c>
      <c r="E422" s="24">
        <v>0</v>
      </c>
      <c r="F422" s="24">
        <v>1</v>
      </c>
      <c r="G422" s="24"/>
      <c r="H422" s="24"/>
    </row>
    <row r="423" spans="1:8" ht="15" customHeight="1" x14ac:dyDescent="0.3">
      <c r="A423" s="34" t="s">
        <v>979</v>
      </c>
      <c r="B423" s="35" t="s">
        <v>980</v>
      </c>
      <c r="C423" s="35" t="s">
        <v>225</v>
      </c>
      <c r="D423" s="34" t="s">
        <v>155</v>
      </c>
      <c r="E423" s="34">
        <v>0</v>
      </c>
      <c r="F423" s="34">
        <v>4</v>
      </c>
      <c r="G423" s="34"/>
      <c r="H423" s="34"/>
    </row>
    <row r="424" spans="1:8" ht="15" customHeight="1" x14ac:dyDescent="0.3">
      <c r="A424" s="24" t="s">
        <v>981</v>
      </c>
      <c r="B424" s="23" t="s">
        <v>982</v>
      </c>
      <c r="C424" s="23" t="s">
        <v>164</v>
      </c>
      <c r="D424" s="24" t="s">
        <v>155</v>
      </c>
      <c r="E424" s="24">
        <v>0</v>
      </c>
      <c r="F424" s="24">
        <v>1</v>
      </c>
      <c r="G424" s="24"/>
      <c r="H424" s="24"/>
    </row>
    <row r="425" spans="1:8" ht="15" customHeight="1" x14ac:dyDescent="0.3">
      <c r="A425" s="34" t="s">
        <v>983</v>
      </c>
      <c r="B425" s="35" t="s">
        <v>984</v>
      </c>
      <c r="C425" s="35" t="s">
        <v>188</v>
      </c>
      <c r="D425" s="34" t="s">
        <v>155</v>
      </c>
      <c r="E425" s="34">
        <v>0</v>
      </c>
      <c r="F425" s="34">
        <v>7</v>
      </c>
      <c r="G425" s="34"/>
      <c r="H425" s="34"/>
    </row>
    <row r="426" spans="1:8" ht="15" customHeight="1" x14ac:dyDescent="0.3">
      <c r="A426" s="24" t="s">
        <v>985</v>
      </c>
      <c r="B426" s="23" t="s">
        <v>986</v>
      </c>
      <c r="C426" s="23" t="s">
        <v>171</v>
      </c>
      <c r="D426" s="24" t="s">
        <v>155</v>
      </c>
      <c r="E426" s="24">
        <v>11</v>
      </c>
      <c r="F426" s="24">
        <v>5</v>
      </c>
      <c r="G426" s="24"/>
      <c r="H426" s="24"/>
    </row>
    <row r="427" spans="1:8" ht="15" customHeight="1" x14ac:dyDescent="0.3">
      <c r="A427" s="34" t="s">
        <v>987</v>
      </c>
      <c r="B427" s="35" t="s">
        <v>988</v>
      </c>
      <c r="C427" s="35" t="s">
        <v>164</v>
      </c>
      <c r="D427" s="34" t="s">
        <v>155</v>
      </c>
      <c r="E427" s="34">
        <v>0</v>
      </c>
      <c r="F427" s="34">
        <v>2</v>
      </c>
      <c r="G427" s="34"/>
      <c r="H427" s="34"/>
    </row>
    <row r="428" spans="1:8" ht="15" customHeight="1" x14ac:dyDescent="0.3">
      <c r="A428" s="24" t="s">
        <v>989</v>
      </c>
      <c r="B428" s="23" t="s">
        <v>990</v>
      </c>
      <c r="C428" s="23" t="s">
        <v>198</v>
      </c>
      <c r="D428" s="24" t="s">
        <v>155</v>
      </c>
      <c r="E428" s="24">
        <v>0</v>
      </c>
      <c r="F428" s="24">
        <v>1</v>
      </c>
      <c r="G428" s="24"/>
      <c r="H428" s="24"/>
    </row>
    <row r="429" spans="1:8" ht="15" customHeight="1" x14ac:dyDescent="0.3">
      <c r="A429" s="34" t="s">
        <v>991</v>
      </c>
      <c r="B429" s="35" t="s">
        <v>992</v>
      </c>
      <c r="C429" s="35" t="s">
        <v>158</v>
      </c>
      <c r="D429" s="34" t="s">
        <v>155</v>
      </c>
      <c r="E429" s="34">
        <v>0</v>
      </c>
      <c r="F429" s="34">
        <v>2</v>
      </c>
      <c r="G429" s="34"/>
      <c r="H429" s="34"/>
    </row>
    <row r="430" spans="1:8" ht="15" customHeight="1" x14ac:dyDescent="0.3">
      <c r="A430" s="24" t="s">
        <v>88</v>
      </c>
      <c r="B430" s="23" t="s">
        <v>993</v>
      </c>
      <c r="C430" s="23" t="s">
        <v>158</v>
      </c>
      <c r="D430" s="24" t="s">
        <v>155</v>
      </c>
      <c r="E430" s="24">
        <v>1</v>
      </c>
      <c r="F430" s="24">
        <v>1</v>
      </c>
      <c r="G430" s="24"/>
      <c r="H430" s="24"/>
    </row>
    <row r="431" spans="1:8" ht="15" customHeight="1" x14ac:dyDescent="0.3">
      <c r="A431" s="34" t="s">
        <v>994</v>
      </c>
      <c r="B431" s="35" t="s">
        <v>995</v>
      </c>
      <c r="C431" s="35" t="s">
        <v>198</v>
      </c>
      <c r="D431" s="34" t="s">
        <v>155</v>
      </c>
      <c r="E431" s="34">
        <v>0</v>
      </c>
      <c r="F431" s="34">
        <v>4</v>
      </c>
      <c r="G431" s="34"/>
      <c r="H431" s="34"/>
    </row>
    <row r="432" spans="1:8" ht="15" customHeight="1" x14ac:dyDescent="0.3">
      <c r="A432" s="24" t="s">
        <v>996</v>
      </c>
      <c r="B432" s="23" t="s">
        <v>997</v>
      </c>
      <c r="C432" s="23" t="s">
        <v>213</v>
      </c>
      <c r="D432" s="24" t="s">
        <v>155</v>
      </c>
      <c r="E432" s="24">
        <v>0</v>
      </c>
      <c r="F432" s="24">
        <v>1</v>
      </c>
      <c r="G432" s="24"/>
      <c r="H432" s="24"/>
    </row>
    <row r="433" spans="1:8" ht="15" customHeight="1" x14ac:dyDescent="0.3">
      <c r="A433" s="34" t="s">
        <v>998</v>
      </c>
      <c r="B433" s="35" t="s">
        <v>999</v>
      </c>
      <c r="C433" s="35" t="s">
        <v>158</v>
      </c>
      <c r="D433" s="34" t="s">
        <v>155</v>
      </c>
      <c r="E433" s="34">
        <v>0</v>
      </c>
      <c r="F433" s="34">
        <v>4</v>
      </c>
      <c r="G433" s="34"/>
      <c r="H433" s="34"/>
    </row>
    <row r="434" spans="1:8" ht="15" customHeight="1" x14ac:dyDescent="0.3">
      <c r="A434" s="24" t="s">
        <v>1000</v>
      </c>
      <c r="B434" s="23" t="s">
        <v>1001</v>
      </c>
      <c r="C434" s="23" t="s">
        <v>164</v>
      </c>
      <c r="D434" s="24" t="s">
        <v>155</v>
      </c>
      <c r="E434" s="24">
        <v>0</v>
      </c>
      <c r="F434" s="24">
        <v>4</v>
      </c>
      <c r="G434" s="24"/>
      <c r="H434" s="24"/>
    </row>
    <row r="435" spans="1:8" ht="15" customHeight="1" x14ac:dyDescent="0.3">
      <c r="A435" s="34" t="s">
        <v>1002</v>
      </c>
      <c r="B435" s="35" t="s">
        <v>1003</v>
      </c>
      <c r="C435" s="35" t="s">
        <v>198</v>
      </c>
      <c r="D435" s="34" t="s">
        <v>155</v>
      </c>
      <c r="E435" s="34">
        <v>0</v>
      </c>
      <c r="F435" s="34">
        <v>3</v>
      </c>
      <c r="G435" s="34"/>
      <c r="H435" s="34"/>
    </row>
    <row r="436" spans="1:8" ht="15" customHeight="1" x14ac:dyDescent="0.3">
      <c r="A436" s="24" t="s">
        <v>1004</v>
      </c>
      <c r="B436" s="23" t="s">
        <v>1005</v>
      </c>
      <c r="C436" s="23" t="s">
        <v>198</v>
      </c>
      <c r="D436" s="24" t="s">
        <v>155</v>
      </c>
      <c r="E436" s="24">
        <v>0</v>
      </c>
      <c r="F436" s="24">
        <v>1</v>
      </c>
      <c r="G436" s="24"/>
      <c r="H436" s="24"/>
    </row>
    <row r="437" spans="1:8" ht="15" customHeight="1" x14ac:dyDescent="0.3">
      <c r="A437" s="34" t="s">
        <v>1006</v>
      </c>
      <c r="B437" s="35" t="s">
        <v>1007</v>
      </c>
      <c r="C437" s="35" t="s">
        <v>171</v>
      </c>
      <c r="D437" s="34" t="s">
        <v>155</v>
      </c>
      <c r="E437" s="34">
        <v>0</v>
      </c>
      <c r="F437" s="34">
        <v>3</v>
      </c>
      <c r="G437" s="34"/>
      <c r="H437" s="34"/>
    </row>
    <row r="438" spans="1:8" ht="15" customHeight="1" x14ac:dyDescent="0.3">
      <c r="A438" s="24" t="s">
        <v>1008</v>
      </c>
      <c r="B438" s="23" t="s">
        <v>1009</v>
      </c>
      <c r="C438" s="23" t="s">
        <v>164</v>
      </c>
      <c r="D438" s="24" t="s">
        <v>155</v>
      </c>
      <c r="E438" s="24">
        <v>0</v>
      </c>
      <c r="F438" s="24">
        <v>2</v>
      </c>
      <c r="G438" s="24"/>
      <c r="H438" s="24"/>
    </row>
    <row r="439" spans="1:8" ht="15" customHeight="1" x14ac:dyDescent="0.3">
      <c r="A439" s="34" t="s">
        <v>1010</v>
      </c>
      <c r="B439" s="35" t="s">
        <v>1011</v>
      </c>
      <c r="C439" s="35" t="s">
        <v>213</v>
      </c>
      <c r="D439" s="34" t="s">
        <v>155</v>
      </c>
      <c r="E439" s="34">
        <v>0</v>
      </c>
      <c r="F439" s="34">
        <v>2</v>
      </c>
      <c r="G439" s="34"/>
      <c r="H439" s="34"/>
    </row>
    <row r="440" spans="1:8" ht="15" customHeight="1" x14ac:dyDescent="0.3">
      <c r="A440" s="24" t="s">
        <v>1012</v>
      </c>
      <c r="B440" s="23" t="s">
        <v>1013</v>
      </c>
      <c r="C440" s="23" t="s">
        <v>158</v>
      </c>
      <c r="D440" s="24" t="s">
        <v>155</v>
      </c>
      <c r="E440" s="24">
        <v>6</v>
      </c>
      <c r="F440" s="24">
        <v>2</v>
      </c>
      <c r="G440" s="24"/>
      <c r="H440" s="24"/>
    </row>
    <row r="441" spans="1:8" ht="15" customHeight="1" x14ac:dyDescent="0.3">
      <c r="A441" s="34" t="s">
        <v>1014</v>
      </c>
      <c r="B441" s="35" t="s">
        <v>1015</v>
      </c>
      <c r="C441" s="35" t="s">
        <v>198</v>
      </c>
      <c r="D441" s="34" t="s">
        <v>155</v>
      </c>
      <c r="E441" s="34">
        <v>0</v>
      </c>
      <c r="F441" s="34">
        <v>2</v>
      </c>
      <c r="G441" s="34"/>
      <c r="H441" s="34"/>
    </row>
    <row r="442" spans="1:8" ht="15" customHeight="1" x14ac:dyDescent="0.3">
      <c r="A442" s="24" t="s">
        <v>1016</v>
      </c>
      <c r="B442" s="23" t="s">
        <v>1017</v>
      </c>
      <c r="C442" s="23" t="s">
        <v>164</v>
      </c>
      <c r="D442" s="24" t="s">
        <v>155</v>
      </c>
      <c r="E442" s="24">
        <v>0</v>
      </c>
      <c r="F442" s="24">
        <v>2</v>
      </c>
      <c r="G442" s="24"/>
      <c r="H442" s="24"/>
    </row>
    <row r="443" spans="1:8" ht="15" customHeight="1" x14ac:dyDescent="0.3">
      <c r="A443" s="34" t="s">
        <v>1018</v>
      </c>
      <c r="B443" s="35" t="s">
        <v>1019</v>
      </c>
      <c r="C443" s="35" t="s">
        <v>158</v>
      </c>
      <c r="D443" s="34" t="s">
        <v>155</v>
      </c>
      <c r="E443" s="34">
        <v>1</v>
      </c>
      <c r="F443" s="34">
        <v>4</v>
      </c>
      <c r="G443" s="34"/>
      <c r="H443" s="34"/>
    </row>
    <row r="444" spans="1:8" ht="15" customHeight="1" x14ac:dyDescent="0.3">
      <c r="A444" s="24" t="s">
        <v>1020</v>
      </c>
      <c r="B444" s="23" t="s">
        <v>1021</v>
      </c>
      <c r="C444" s="23" t="s">
        <v>225</v>
      </c>
      <c r="D444" s="24" t="s">
        <v>155</v>
      </c>
      <c r="E444" s="24">
        <v>874</v>
      </c>
      <c r="F444" s="24">
        <v>13</v>
      </c>
      <c r="G444" s="24"/>
      <c r="H444" s="24"/>
    </row>
    <row r="445" spans="1:8" ht="15" customHeight="1" x14ac:dyDescent="0.3">
      <c r="A445" s="34" t="s">
        <v>1022</v>
      </c>
      <c r="B445" s="35" t="s">
        <v>1023</v>
      </c>
      <c r="C445" s="35" t="s">
        <v>171</v>
      </c>
      <c r="D445" s="34" t="s">
        <v>155</v>
      </c>
      <c r="E445" s="34">
        <v>0</v>
      </c>
      <c r="F445" s="34">
        <v>2</v>
      </c>
      <c r="G445" s="34"/>
      <c r="H445" s="34"/>
    </row>
    <row r="446" spans="1:8" ht="15" customHeight="1" x14ac:dyDescent="0.3">
      <c r="A446" s="24" t="s">
        <v>1024</v>
      </c>
      <c r="B446" s="23" t="s">
        <v>1025</v>
      </c>
      <c r="C446" s="23" t="s">
        <v>171</v>
      </c>
      <c r="D446" s="24" t="s">
        <v>155</v>
      </c>
      <c r="E446" s="24">
        <v>0</v>
      </c>
      <c r="F446" s="24">
        <v>2</v>
      </c>
      <c r="G446" s="24"/>
      <c r="H446" s="24"/>
    </row>
    <row r="447" spans="1:8" ht="15" customHeight="1" x14ac:dyDescent="0.3">
      <c r="A447" s="34" t="s">
        <v>1026</v>
      </c>
      <c r="B447" s="35" t="s">
        <v>1027</v>
      </c>
      <c r="C447" s="35" t="s">
        <v>171</v>
      </c>
      <c r="D447" s="34" t="s">
        <v>155</v>
      </c>
      <c r="E447" s="34">
        <v>0</v>
      </c>
      <c r="F447" s="34">
        <v>2</v>
      </c>
      <c r="G447" s="34"/>
      <c r="H447" s="34"/>
    </row>
    <row r="448" spans="1:8" ht="15" customHeight="1" x14ac:dyDescent="0.3">
      <c r="A448" s="24" t="s">
        <v>1028</v>
      </c>
      <c r="B448" s="23" t="s">
        <v>1029</v>
      </c>
      <c r="C448" s="23" t="s">
        <v>158</v>
      </c>
      <c r="D448" s="24" t="s">
        <v>155</v>
      </c>
      <c r="E448" s="24">
        <v>6</v>
      </c>
      <c r="F448" s="24">
        <v>4</v>
      </c>
      <c r="G448" s="24"/>
      <c r="H448" s="24"/>
    </row>
    <row r="449" spans="1:8" ht="15" customHeight="1" x14ac:dyDescent="0.3">
      <c r="A449" s="34" t="s">
        <v>1030</v>
      </c>
      <c r="B449" s="35" t="s">
        <v>1031</v>
      </c>
      <c r="C449" s="35" t="s">
        <v>188</v>
      </c>
      <c r="D449" s="34" t="s">
        <v>155</v>
      </c>
      <c r="E449" s="34">
        <v>0</v>
      </c>
      <c r="F449" s="34">
        <v>1</v>
      </c>
      <c r="G449" s="34"/>
      <c r="H449" s="34"/>
    </row>
    <row r="450" spans="1:8" ht="15" customHeight="1" x14ac:dyDescent="0.3">
      <c r="A450" s="24" t="s">
        <v>1032</v>
      </c>
      <c r="B450" s="23" t="s">
        <v>1033</v>
      </c>
      <c r="C450" s="23" t="s">
        <v>171</v>
      </c>
      <c r="D450" s="24" t="s">
        <v>155</v>
      </c>
      <c r="E450" s="24">
        <v>0</v>
      </c>
      <c r="F450" s="24">
        <v>3</v>
      </c>
      <c r="G450" s="24"/>
      <c r="H450" s="24"/>
    </row>
    <row r="451" spans="1:8" ht="15" customHeight="1" x14ac:dyDescent="0.3">
      <c r="A451" s="34" t="s">
        <v>1034</v>
      </c>
      <c r="B451" s="35" t="s">
        <v>1035</v>
      </c>
      <c r="C451" s="35" t="s">
        <v>309</v>
      </c>
      <c r="D451" s="34" t="s">
        <v>155</v>
      </c>
      <c r="E451" s="34">
        <v>25</v>
      </c>
      <c r="F451" s="34">
        <v>11</v>
      </c>
      <c r="G451" s="34"/>
      <c r="H451" s="34"/>
    </row>
    <row r="452" spans="1:8" ht="15" customHeight="1" x14ac:dyDescent="0.3">
      <c r="A452" s="24" t="s">
        <v>1036</v>
      </c>
      <c r="B452" s="23" t="s">
        <v>1037</v>
      </c>
      <c r="C452" s="23" t="s">
        <v>198</v>
      </c>
      <c r="D452" s="24" t="s">
        <v>155</v>
      </c>
      <c r="E452" s="24">
        <v>0</v>
      </c>
      <c r="F452" s="24">
        <v>1</v>
      </c>
      <c r="G452" s="24"/>
      <c r="H452" s="24"/>
    </row>
    <row r="453" spans="1:8" ht="15" customHeight="1" x14ac:dyDescent="0.3">
      <c r="A453" s="34" t="s">
        <v>1038</v>
      </c>
      <c r="B453" s="35" t="s">
        <v>1039</v>
      </c>
      <c r="C453" s="35" t="s">
        <v>561</v>
      </c>
      <c r="D453" s="34" t="s">
        <v>155</v>
      </c>
      <c r="E453" s="34">
        <v>0</v>
      </c>
      <c r="F453" s="34">
        <v>5</v>
      </c>
      <c r="G453" s="34"/>
      <c r="H453" s="34"/>
    </row>
    <row r="454" spans="1:8" ht="15" customHeight="1" x14ac:dyDescent="0.3">
      <c r="A454" s="24" t="s">
        <v>1040</v>
      </c>
      <c r="B454" s="23" t="s">
        <v>1041</v>
      </c>
      <c r="C454" s="23" t="s">
        <v>185</v>
      </c>
      <c r="D454" s="24" t="s">
        <v>155</v>
      </c>
      <c r="E454" s="24">
        <v>0</v>
      </c>
      <c r="F454" s="24">
        <v>1</v>
      </c>
      <c r="G454" s="24"/>
      <c r="H454" s="24"/>
    </row>
    <row r="455" spans="1:8" ht="15" customHeight="1" x14ac:dyDescent="0.3">
      <c r="A455" s="34" t="s">
        <v>1042</v>
      </c>
      <c r="B455" s="35" t="s">
        <v>1043</v>
      </c>
      <c r="C455" s="35" t="s">
        <v>188</v>
      </c>
      <c r="D455" s="34" t="s">
        <v>155</v>
      </c>
      <c r="E455" s="34">
        <v>0</v>
      </c>
      <c r="F455" s="34">
        <v>2</v>
      </c>
      <c r="G455" s="34"/>
      <c r="H455" s="34"/>
    </row>
    <row r="456" spans="1:8" ht="15" customHeight="1" x14ac:dyDescent="0.3">
      <c r="A456" s="24" t="s">
        <v>1044</v>
      </c>
      <c r="B456" s="23" t="s">
        <v>1045</v>
      </c>
      <c r="C456" s="23" t="s">
        <v>309</v>
      </c>
      <c r="D456" s="24" t="s">
        <v>155</v>
      </c>
      <c r="E456" s="24">
        <v>7</v>
      </c>
      <c r="F456" s="24">
        <v>5</v>
      </c>
      <c r="G456" s="24"/>
      <c r="H456" s="24"/>
    </row>
    <row r="457" spans="1:8" ht="15" customHeight="1" x14ac:dyDescent="0.3">
      <c r="A457" s="34" t="s">
        <v>1046</v>
      </c>
      <c r="B457" s="35" t="s">
        <v>1047</v>
      </c>
      <c r="C457" s="35" t="s">
        <v>171</v>
      </c>
      <c r="D457" s="34" t="s">
        <v>155</v>
      </c>
      <c r="E457" s="34">
        <v>0</v>
      </c>
      <c r="F457" s="34">
        <v>2</v>
      </c>
      <c r="G457" s="34"/>
      <c r="H457" s="34"/>
    </row>
    <row r="458" spans="1:8" ht="15" customHeight="1" x14ac:dyDescent="0.3">
      <c r="A458" s="24" t="s">
        <v>1048</v>
      </c>
      <c r="B458" s="23" t="s">
        <v>1049</v>
      </c>
      <c r="C458" s="23" t="s">
        <v>158</v>
      </c>
      <c r="D458" s="24" t="s">
        <v>155</v>
      </c>
      <c r="E458" s="24">
        <v>2</v>
      </c>
      <c r="F458" s="24">
        <v>6</v>
      </c>
      <c r="G458" s="24"/>
      <c r="H458" s="24"/>
    </row>
    <row r="459" spans="1:8" ht="15" customHeight="1" x14ac:dyDescent="0.3">
      <c r="A459" s="34" t="s">
        <v>1050</v>
      </c>
      <c r="B459" s="35" t="s">
        <v>1051</v>
      </c>
      <c r="C459" s="35" t="s">
        <v>171</v>
      </c>
      <c r="D459" s="34" t="s">
        <v>155</v>
      </c>
      <c r="E459" s="34">
        <v>0</v>
      </c>
      <c r="F459" s="34">
        <v>4</v>
      </c>
      <c r="G459" s="34"/>
      <c r="H459" s="34"/>
    </row>
    <row r="460" spans="1:8" ht="15" customHeight="1" x14ac:dyDescent="0.3">
      <c r="A460" s="24" t="s">
        <v>1052</v>
      </c>
      <c r="B460" s="23" t="s">
        <v>1053</v>
      </c>
      <c r="C460" s="23" t="s">
        <v>171</v>
      </c>
      <c r="D460" s="24" t="s">
        <v>155</v>
      </c>
      <c r="E460" s="24">
        <v>2</v>
      </c>
      <c r="F460" s="24">
        <v>4</v>
      </c>
      <c r="G460" s="24"/>
      <c r="H460" s="24"/>
    </row>
    <row r="461" spans="1:8" ht="15" customHeight="1" x14ac:dyDescent="0.3">
      <c r="A461" s="34" t="s">
        <v>116</v>
      </c>
      <c r="B461" s="35" t="s">
        <v>1054</v>
      </c>
      <c r="C461" s="35" t="s">
        <v>185</v>
      </c>
      <c r="D461" s="34" t="s">
        <v>155</v>
      </c>
      <c r="E461" s="34">
        <v>3</v>
      </c>
      <c r="F461" s="34">
        <v>7</v>
      </c>
      <c r="G461" s="34"/>
      <c r="H461" s="34"/>
    </row>
    <row r="462" spans="1:8" ht="15" customHeight="1" x14ac:dyDescent="0.3">
      <c r="A462" s="24" t="s">
        <v>1055</v>
      </c>
      <c r="B462" s="23" t="s">
        <v>1056</v>
      </c>
      <c r="C462" s="23" t="s">
        <v>188</v>
      </c>
      <c r="D462" s="24" t="s">
        <v>155</v>
      </c>
      <c r="E462" s="24">
        <v>7</v>
      </c>
      <c r="F462" s="24">
        <v>5</v>
      </c>
      <c r="G462" s="24"/>
      <c r="H462" s="24"/>
    </row>
    <row r="463" spans="1:8" ht="15" customHeight="1" x14ac:dyDescent="0.3">
      <c r="A463" s="34" t="s">
        <v>1057</v>
      </c>
      <c r="B463" s="35" t="s">
        <v>1058</v>
      </c>
      <c r="C463" s="35" t="s">
        <v>309</v>
      </c>
      <c r="D463" s="34" t="s">
        <v>155</v>
      </c>
      <c r="E463" s="34">
        <v>0</v>
      </c>
      <c r="F463" s="34">
        <v>2</v>
      </c>
      <c r="G463" s="34"/>
      <c r="H463" s="34"/>
    </row>
    <row r="464" spans="1:8" ht="15" customHeight="1" x14ac:dyDescent="0.3">
      <c r="A464" s="24" t="s">
        <v>1059</v>
      </c>
      <c r="B464" s="23" t="s">
        <v>1060</v>
      </c>
      <c r="C464" s="23" t="s">
        <v>164</v>
      </c>
      <c r="D464" s="24" t="s">
        <v>155</v>
      </c>
      <c r="E464" s="24">
        <v>0</v>
      </c>
      <c r="F464" s="24">
        <v>2</v>
      </c>
      <c r="G464" s="24"/>
      <c r="H464" s="24"/>
    </row>
    <row r="465" spans="1:8" ht="15" customHeight="1" x14ac:dyDescent="0.3">
      <c r="A465" s="34" t="s">
        <v>1061</v>
      </c>
      <c r="B465" s="35" t="s">
        <v>1062</v>
      </c>
      <c r="C465" s="35" t="s">
        <v>309</v>
      </c>
      <c r="D465" s="34" t="s">
        <v>155</v>
      </c>
      <c r="E465" s="34">
        <v>0</v>
      </c>
      <c r="F465" s="34">
        <v>5</v>
      </c>
      <c r="G465" s="34"/>
      <c r="H465" s="34"/>
    </row>
    <row r="466" spans="1:8" ht="15" customHeight="1" x14ac:dyDescent="0.3">
      <c r="A466" s="24" t="s">
        <v>1063</v>
      </c>
      <c r="B466" s="23" t="s">
        <v>1064</v>
      </c>
      <c r="C466" s="23" t="s">
        <v>158</v>
      </c>
      <c r="D466" s="24" t="s">
        <v>155</v>
      </c>
      <c r="E466" s="24">
        <v>0</v>
      </c>
      <c r="F466" s="24">
        <v>1</v>
      </c>
      <c r="G466" s="24"/>
      <c r="H466" s="24"/>
    </row>
    <row r="467" spans="1:8" ht="15" customHeight="1" x14ac:dyDescent="0.3">
      <c r="A467" s="34" t="s">
        <v>1065</v>
      </c>
      <c r="B467" s="35" t="s">
        <v>1066</v>
      </c>
      <c r="C467" s="35" t="s">
        <v>589</v>
      </c>
      <c r="D467" s="34" t="s">
        <v>155</v>
      </c>
      <c r="E467" s="34">
        <v>0</v>
      </c>
      <c r="F467" s="34">
        <v>3</v>
      </c>
      <c r="G467" s="34"/>
      <c r="H467" s="34"/>
    </row>
    <row r="468" spans="1:8" ht="15" customHeight="1" x14ac:dyDescent="0.3">
      <c r="A468" s="24" t="s">
        <v>1067</v>
      </c>
      <c r="B468" s="23" t="s">
        <v>1068</v>
      </c>
      <c r="C468" s="23" t="s">
        <v>589</v>
      </c>
      <c r="D468" s="24" t="s">
        <v>155</v>
      </c>
      <c r="E468" s="24">
        <v>0</v>
      </c>
      <c r="F468" s="24">
        <v>3</v>
      </c>
      <c r="G468" s="24"/>
      <c r="H468" s="24"/>
    </row>
    <row r="469" spans="1:8" ht="15" customHeight="1" x14ac:dyDescent="0.3">
      <c r="A469" s="34" t="s">
        <v>1069</v>
      </c>
      <c r="B469" s="35" t="s">
        <v>1070</v>
      </c>
      <c r="C469" s="35" t="s">
        <v>158</v>
      </c>
      <c r="D469" s="34" t="s">
        <v>155</v>
      </c>
      <c r="E469" s="34">
        <v>0</v>
      </c>
      <c r="F469" s="34">
        <v>1</v>
      </c>
      <c r="G469" s="34"/>
      <c r="H469" s="34"/>
    </row>
    <row r="470" spans="1:8" ht="15" customHeight="1" x14ac:dyDescent="0.3">
      <c r="A470" s="24" t="s">
        <v>1071</v>
      </c>
      <c r="B470" s="23" t="s">
        <v>1072</v>
      </c>
      <c r="C470" s="23" t="s">
        <v>164</v>
      </c>
      <c r="D470" s="24" t="s">
        <v>155</v>
      </c>
      <c r="E470" s="24">
        <v>0</v>
      </c>
      <c r="F470" s="24">
        <v>4</v>
      </c>
      <c r="G470" s="24"/>
      <c r="H470" s="24"/>
    </row>
    <row r="471" spans="1:8" ht="15" customHeight="1" x14ac:dyDescent="0.3">
      <c r="A471" s="34" t="s">
        <v>1073</v>
      </c>
      <c r="B471" s="35" t="s">
        <v>1074</v>
      </c>
      <c r="C471" s="35" t="s">
        <v>164</v>
      </c>
      <c r="D471" s="34" t="s">
        <v>155</v>
      </c>
      <c r="E471" s="34">
        <v>0</v>
      </c>
      <c r="F471" s="34">
        <v>1</v>
      </c>
      <c r="G471" s="34"/>
      <c r="H471" s="34"/>
    </row>
    <row r="472" spans="1:8" ht="15" customHeight="1" x14ac:dyDescent="0.3">
      <c r="A472" s="24" t="s">
        <v>118</v>
      </c>
      <c r="B472" s="23" t="s">
        <v>1075</v>
      </c>
      <c r="C472" s="23" t="s">
        <v>171</v>
      </c>
      <c r="D472" s="24" t="s">
        <v>155</v>
      </c>
      <c r="E472" s="24">
        <v>200</v>
      </c>
      <c r="F472" s="24">
        <v>9</v>
      </c>
      <c r="G472" s="24"/>
      <c r="H472" s="24"/>
    </row>
    <row r="473" spans="1:8" ht="15" customHeight="1" x14ac:dyDescent="0.3">
      <c r="A473" s="34" t="s">
        <v>1076</v>
      </c>
      <c r="B473" s="35" t="s">
        <v>1077</v>
      </c>
      <c r="C473" s="35" t="s">
        <v>225</v>
      </c>
      <c r="D473" s="34" t="s">
        <v>155</v>
      </c>
      <c r="E473" s="34">
        <v>0</v>
      </c>
      <c r="F473" s="34">
        <v>1</v>
      </c>
      <c r="G473" s="34"/>
      <c r="H473" s="34"/>
    </row>
    <row r="474" spans="1:8" ht="15" customHeight="1" x14ac:dyDescent="0.3">
      <c r="A474" s="24" t="s">
        <v>1078</v>
      </c>
      <c r="B474" s="23" t="s">
        <v>1079</v>
      </c>
      <c r="C474" s="23" t="s">
        <v>225</v>
      </c>
      <c r="D474" s="24" t="s">
        <v>155</v>
      </c>
      <c r="E474" s="24">
        <v>0</v>
      </c>
      <c r="F474" s="24">
        <v>2</v>
      </c>
      <c r="G474" s="24"/>
      <c r="H474" s="24"/>
    </row>
    <row r="475" spans="1:8" ht="15" customHeight="1" x14ac:dyDescent="0.3">
      <c r="A475" s="34" t="s">
        <v>1080</v>
      </c>
      <c r="B475" s="35" t="s">
        <v>1081</v>
      </c>
      <c r="C475" s="35" t="s">
        <v>416</v>
      </c>
      <c r="D475" s="34" t="s">
        <v>155</v>
      </c>
      <c r="E475" s="34">
        <v>6</v>
      </c>
      <c r="F475" s="34">
        <v>5</v>
      </c>
      <c r="G475" s="34"/>
      <c r="H475" s="34"/>
    </row>
    <row r="476" spans="1:8" ht="15" customHeight="1" x14ac:dyDescent="0.3">
      <c r="A476" s="24" t="s">
        <v>1082</v>
      </c>
      <c r="B476" s="23" t="s">
        <v>1083</v>
      </c>
      <c r="C476" s="23" t="s">
        <v>158</v>
      </c>
      <c r="D476" s="24" t="s">
        <v>155</v>
      </c>
      <c r="E476" s="24">
        <v>4</v>
      </c>
      <c r="F476" s="24">
        <v>3</v>
      </c>
      <c r="G476" s="24"/>
      <c r="H476" s="24"/>
    </row>
    <row r="477" spans="1:8" ht="15" customHeight="1" x14ac:dyDescent="0.3">
      <c r="A477" s="34" t="s">
        <v>1084</v>
      </c>
      <c r="B477" s="35" t="s">
        <v>1085</v>
      </c>
      <c r="C477" s="35" t="s">
        <v>154</v>
      </c>
      <c r="D477" s="34" t="s">
        <v>155</v>
      </c>
      <c r="E477" s="34">
        <v>0</v>
      </c>
      <c r="F477" s="34">
        <v>1</v>
      </c>
      <c r="G477" s="34"/>
      <c r="H477" s="34"/>
    </row>
    <row r="478" spans="1:8" ht="15" customHeight="1" x14ac:dyDescent="0.3">
      <c r="A478" s="24" t="s">
        <v>1086</v>
      </c>
      <c r="B478" s="23" t="s">
        <v>1087</v>
      </c>
      <c r="C478" s="23" t="s">
        <v>171</v>
      </c>
      <c r="D478" s="24" t="s">
        <v>155</v>
      </c>
      <c r="E478" s="24">
        <v>0</v>
      </c>
      <c r="F478" s="24">
        <v>4</v>
      </c>
      <c r="G478" s="24"/>
      <c r="H478" s="24"/>
    </row>
    <row r="479" spans="1:8" ht="15" customHeight="1" x14ac:dyDescent="0.3">
      <c r="A479" s="34" t="s">
        <v>1088</v>
      </c>
      <c r="B479" s="35" t="s">
        <v>1089</v>
      </c>
      <c r="C479" s="35" t="s">
        <v>164</v>
      </c>
      <c r="D479" s="34" t="s">
        <v>155</v>
      </c>
      <c r="E479" s="34">
        <v>0</v>
      </c>
      <c r="F479" s="34">
        <v>1</v>
      </c>
      <c r="G479" s="34"/>
      <c r="H479" s="34"/>
    </row>
    <row r="480" spans="1:8" ht="15" customHeight="1" x14ac:dyDescent="0.3">
      <c r="A480" s="24" t="s">
        <v>1090</v>
      </c>
      <c r="B480" s="23" t="s">
        <v>1091</v>
      </c>
      <c r="C480" s="23" t="s">
        <v>309</v>
      </c>
      <c r="D480" s="24" t="s">
        <v>155</v>
      </c>
      <c r="E480" s="24">
        <v>0</v>
      </c>
      <c r="F480" s="24">
        <v>3</v>
      </c>
      <c r="G480" s="24"/>
      <c r="H480" s="24"/>
    </row>
    <row r="481" spans="1:8" ht="15" customHeight="1" x14ac:dyDescent="0.3">
      <c r="A481" s="34" t="s">
        <v>1092</v>
      </c>
      <c r="B481" s="35" t="s">
        <v>1093</v>
      </c>
      <c r="C481" s="35" t="s">
        <v>213</v>
      </c>
      <c r="D481" s="34" t="s">
        <v>155</v>
      </c>
      <c r="E481" s="34">
        <v>0</v>
      </c>
      <c r="F481" s="34">
        <v>1</v>
      </c>
      <c r="G481" s="34"/>
      <c r="H481" s="34"/>
    </row>
    <row r="482" spans="1:8" ht="15" customHeight="1" x14ac:dyDescent="0.3">
      <c r="A482" s="24" t="s">
        <v>1094</v>
      </c>
      <c r="B482" s="23" t="s">
        <v>1095</v>
      </c>
      <c r="C482" s="23" t="s">
        <v>216</v>
      </c>
      <c r="D482" s="24" t="s">
        <v>155</v>
      </c>
      <c r="E482" s="24">
        <v>0</v>
      </c>
      <c r="F482" s="24">
        <v>1</v>
      </c>
      <c r="G482" s="24"/>
      <c r="H482" s="24"/>
    </row>
    <row r="483" spans="1:8" ht="15" customHeight="1" x14ac:dyDescent="0.3">
      <c r="A483" s="34" t="s">
        <v>1096</v>
      </c>
      <c r="B483" s="35" t="s">
        <v>1097</v>
      </c>
      <c r="C483" s="35" t="s">
        <v>171</v>
      </c>
      <c r="D483" s="34" t="s">
        <v>155</v>
      </c>
      <c r="E483" s="34">
        <v>0</v>
      </c>
      <c r="F483" s="34">
        <v>3</v>
      </c>
      <c r="G483" s="34"/>
      <c r="H483" s="34"/>
    </row>
    <row r="484" spans="1:8" ht="15" customHeight="1" x14ac:dyDescent="0.3">
      <c r="A484" s="24" t="s">
        <v>1098</v>
      </c>
      <c r="B484" s="23" t="s">
        <v>1099</v>
      </c>
      <c r="C484" s="23" t="s">
        <v>158</v>
      </c>
      <c r="D484" s="24" t="s">
        <v>155</v>
      </c>
      <c r="E484" s="24">
        <v>0</v>
      </c>
      <c r="F484" s="24">
        <v>2</v>
      </c>
      <c r="G484" s="24"/>
      <c r="H484" s="24"/>
    </row>
    <row r="485" spans="1:8" ht="15" customHeight="1" x14ac:dyDescent="0.3">
      <c r="A485" s="34" t="s">
        <v>1100</v>
      </c>
      <c r="B485" s="35" t="s">
        <v>1101</v>
      </c>
      <c r="C485" s="35" t="s">
        <v>309</v>
      </c>
      <c r="D485" s="34" t="s">
        <v>155</v>
      </c>
      <c r="E485" s="34">
        <v>0</v>
      </c>
      <c r="F485" s="34">
        <v>2</v>
      </c>
      <c r="G485" s="34"/>
      <c r="H485" s="34"/>
    </row>
    <row r="486" spans="1:8" ht="15" customHeight="1" x14ac:dyDescent="0.3">
      <c r="A486" s="24" t="s">
        <v>1102</v>
      </c>
      <c r="B486" s="23" t="s">
        <v>1103</v>
      </c>
      <c r="C486" s="23" t="s">
        <v>164</v>
      </c>
      <c r="D486" s="24" t="s">
        <v>155</v>
      </c>
      <c r="E486" s="24">
        <v>0</v>
      </c>
      <c r="F486" s="24">
        <v>2</v>
      </c>
      <c r="G486" s="24"/>
      <c r="H486" s="24"/>
    </row>
    <row r="487" spans="1:8" ht="15" customHeight="1" x14ac:dyDescent="0.3">
      <c r="A487" s="34" t="s">
        <v>1104</v>
      </c>
      <c r="B487" s="35" t="s">
        <v>1105</v>
      </c>
      <c r="C487" s="35" t="s">
        <v>216</v>
      </c>
      <c r="D487" s="34" t="s">
        <v>155</v>
      </c>
      <c r="E487" s="34">
        <v>0</v>
      </c>
      <c r="F487" s="34">
        <v>1</v>
      </c>
      <c r="G487" s="34"/>
      <c r="H487" s="34"/>
    </row>
    <row r="488" spans="1:8" ht="15" customHeight="1" x14ac:dyDescent="0.3">
      <c r="A488" s="24" t="s">
        <v>1106</v>
      </c>
      <c r="B488" s="23" t="s">
        <v>1107</v>
      </c>
      <c r="C488" s="23" t="s">
        <v>158</v>
      </c>
      <c r="D488" s="24" t="s">
        <v>155</v>
      </c>
      <c r="E488" s="24">
        <v>3</v>
      </c>
      <c r="F488" s="24">
        <v>1</v>
      </c>
      <c r="G488" s="24"/>
      <c r="H488" s="24"/>
    </row>
    <row r="489" spans="1:8" ht="15" customHeight="1" x14ac:dyDescent="0.3">
      <c r="A489" s="34" t="s">
        <v>1108</v>
      </c>
      <c r="B489" s="35" t="s">
        <v>1109</v>
      </c>
      <c r="C489" s="35" t="s">
        <v>154</v>
      </c>
      <c r="D489" s="34" t="s">
        <v>155</v>
      </c>
      <c r="E489" s="34">
        <v>0</v>
      </c>
      <c r="F489" s="34">
        <v>2</v>
      </c>
      <c r="G489" s="34"/>
      <c r="H489" s="34"/>
    </row>
    <row r="490" spans="1:8" ht="15" customHeight="1" x14ac:dyDescent="0.3">
      <c r="A490" s="24" t="s">
        <v>1110</v>
      </c>
      <c r="B490" s="23" t="s">
        <v>1111</v>
      </c>
      <c r="C490" s="23" t="s">
        <v>216</v>
      </c>
      <c r="D490" s="24" t="s">
        <v>155</v>
      </c>
      <c r="E490" s="24">
        <v>11</v>
      </c>
      <c r="F490" s="24">
        <v>4</v>
      </c>
      <c r="G490" s="24"/>
      <c r="H490" s="24"/>
    </row>
    <row r="491" spans="1:8" ht="15" customHeight="1" x14ac:dyDescent="0.3">
      <c r="A491" s="34" t="s">
        <v>1112</v>
      </c>
      <c r="B491" s="35" t="s">
        <v>1113</v>
      </c>
      <c r="C491" s="35" t="s">
        <v>164</v>
      </c>
      <c r="D491" s="34" t="s">
        <v>155</v>
      </c>
      <c r="E491" s="34">
        <v>0</v>
      </c>
      <c r="F491" s="34">
        <v>4</v>
      </c>
      <c r="G491" s="34"/>
      <c r="H491" s="34"/>
    </row>
    <row r="492" spans="1:8" ht="15" customHeight="1" x14ac:dyDescent="0.3">
      <c r="A492" s="24" t="s">
        <v>1114</v>
      </c>
      <c r="B492" s="23" t="s">
        <v>1115</v>
      </c>
      <c r="C492" s="23" t="s">
        <v>164</v>
      </c>
      <c r="D492" s="24" t="s">
        <v>155</v>
      </c>
      <c r="E492" s="24">
        <v>0</v>
      </c>
      <c r="F492" s="24">
        <v>1</v>
      </c>
      <c r="G492" s="24"/>
      <c r="H492" s="24"/>
    </row>
    <row r="493" spans="1:8" ht="15" customHeight="1" x14ac:dyDescent="0.3">
      <c r="A493" s="34" t="s">
        <v>1116</v>
      </c>
      <c r="B493" s="35" t="s">
        <v>1117</v>
      </c>
      <c r="C493" s="35" t="s">
        <v>213</v>
      </c>
      <c r="D493" s="34" t="s">
        <v>155</v>
      </c>
      <c r="E493" s="34">
        <v>0</v>
      </c>
      <c r="F493" s="34">
        <v>2</v>
      </c>
      <c r="G493" s="34"/>
      <c r="H493" s="34"/>
    </row>
    <row r="494" spans="1:8" ht="15" customHeight="1" x14ac:dyDescent="0.3">
      <c r="A494" s="24" t="s">
        <v>1118</v>
      </c>
      <c r="B494" s="23" t="s">
        <v>1119</v>
      </c>
      <c r="C494" s="23" t="s">
        <v>158</v>
      </c>
      <c r="D494" s="24" t="s">
        <v>155</v>
      </c>
      <c r="E494" s="24">
        <v>0</v>
      </c>
      <c r="F494" s="24">
        <v>2</v>
      </c>
      <c r="G494" s="24"/>
      <c r="H494" s="24"/>
    </row>
    <row r="495" spans="1:8" ht="15" customHeight="1" x14ac:dyDescent="0.3">
      <c r="A495" s="34" t="s">
        <v>1120</v>
      </c>
      <c r="B495" s="35" t="s">
        <v>1121</v>
      </c>
      <c r="C495" s="35" t="s">
        <v>164</v>
      </c>
      <c r="D495" s="34" t="s">
        <v>155</v>
      </c>
      <c r="E495" s="34">
        <v>0</v>
      </c>
      <c r="F495" s="34">
        <v>7</v>
      </c>
      <c r="G495" s="34"/>
      <c r="H495" s="34"/>
    </row>
    <row r="496" spans="1:8" ht="15" customHeight="1" x14ac:dyDescent="0.3">
      <c r="A496" s="24" t="s">
        <v>1122</v>
      </c>
      <c r="B496" s="23" t="s">
        <v>1123</v>
      </c>
      <c r="C496" s="23" t="s">
        <v>164</v>
      </c>
      <c r="D496" s="24" t="s">
        <v>155</v>
      </c>
      <c r="E496" s="24">
        <v>0</v>
      </c>
      <c r="F496" s="24">
        <v>4</v>
      </c>
      <c r="G496" s="24"/>
      <c r="H496" s="24"/>
    </row>
    <row r="497" spans="1:8" ht="15" customHeight="1" x14ac:dyDescent="0.3">
      <c r="A497" s="34" t="s">
        <v>1124</v>
      </c>
      <c r="B497" s="35" t="s">
        <v>1125</v>
      </c>
      <c r="C497" s="35" t="s">
        <v>213</v>
      </c>
      <c r="D497" s="34" t="s">
        <v>155</v>
      </c>
      <c r="E497" s="34">
        <v>0</v>
      </c>
      <c r="F497" s="34">
        <v>3</v>
      </c>
      <c r="G497" s="34"/>
      <c r="H497" s="34"/>
    </row>
    <row r="498" spans="1:8" ht="15" customHeight="1" x14ac:dyDescent="0.3">
      <c r="A498" s="24" t="s">
        <v>1126</v>
      </c>
      <c r="B498" s="23" t="s">
        <v>1127</v>
      </c>
      <c r="C498" s="23" t="s">
        <v>164</v>
      </c>
      <c r="D498" s="24" t="s">
        <v>155</v>
      </c>
      <c r="E498" s="24">
        <v>1</v>
      </c>
      <c r="F498" s="24">
        <v>3</v>
      </c>
      <c r="G498" s="24"/>
      <c r="H498" s="24"/>
    </row>
    <row r="499" spans="1:8" ht="15" customHeight="1" x14ac:dyDescent="0.3">
      <c r="A499" s="34" t="s">
        <v>1128</v>
      </c>
      <c r="B499" s="35" t="s">
        <v>1129</v>
      </c>
      <c r="C499" s="35" t="s">
        <v>164</v>
      </c>
      <c r="D499" s="34" t="s">
        <v>155</v>
      </c>
      <c r="E499" s="34">
        <v>0</v>
      </c>
      <c r="F499" s="34">
        <v>2</v>
      </c>
      <c r="G499" s="34"/>
      <c r="H499" s="34"/>
    </row>
    <row r="500" spans="1:8" ht="15" customHeight="1" x14ac:dyDescent="0.3">
      <c r="A500" s="24" t="s">
        <v>1130</v>
      </c>
      <c r="B500" s="23" t="s">
        <v>1131</v>
      </c>
      <c r="C500" s="23" t="s">
        <v>154</v>
      </c>
      <c r="D500" s="24" t="s">
        <v>155</v>
      </c>
      <c r="E500" s="24">
        <v>0</v>
      </c>
      <c r="F500" s="24">
        <v>1</v>
      </c>
      <c r="G500" s="24"/>
      <c r="H500" s="24"/>
    </row>
    <row r="501" spans="1:8" ht="15" customHeight="1" x14ac:dyDescent="0.3">
      <c r="A501" s="34" t="s">
        <v>1132</v>
      </c>
      <c r="B501" s="35" t="s">
        <v>1133</v>
      </c>
      <c r="C501" s="35" t="s">
        <v>225</v>
      </c>
      <c r="D501" s="34" t="s">
        <v>155</v>
      </c>
      <c r="E501" s="34">
        <v>0</v>
      </c>
      <c r="F501" s="34">
        <v>1</v>
      </c>
      <c r="G501" s="34"/>
      <c r="H501" s="34"/>
    </row>
    <row r="502" spans="1:8" ht="15" customHeight="1" x14ac:dyDescent="0.3">
      <c r="A502" s="24" t="s">
        <v>1134</v>
      </c>
      <c r="B502" s="23" t="s">
        <v>1135</v>
      </c>
      <c r="C502" s="23" t="s">
        <v>164</v>
      </c>
      <c r="D502" s="24" t="s">
        <v>155</v>
      </c>
      <c r="E502" s="24">
        <v>0</v>
      </c>
      <c r="F502" s="24">
        <v>2</v>
      </c>
      <c r="G502" s="24"/>
      <c r="H502" s="24"/>
    </row>
    <row r="503" spans="1:8" ht="15" customHeight="1" x14ac:dyDescent="0.3">
      <c r="A503" s="34" t="s">
        <v>1136</v>
      </c>
      <c r="B503" s="35" t="s">
        <v>1137</v>
      </c>
      <c r="C503" s="35" t="s">
        <v>164</v>
      </c>
      <c r="D503" s="34" t="s">
        <v>155</v>
      </c>
      <c r="E503" s="34">
        <v>0</v>
      </c>
      <c r="F503" s="34">
        <v>2</v>
      </c>
      <c r="G503" s="34"/>
      <c r="H503" s="34"/>
    </row>
    <row r="504" spans="1:8" ht="15" customHeight="1" x14ac:dyDescent="0.3">
      <c r="A504" s="24" t="s">
        <v>1138</v>
      </c>
      <c r="B504" s="23" t="s">
        <v>1139</v>
      </c>
      <c r="C504" s="23" t="s">
        <v>635</v>
      </c>
      <c r="D504" s="24" t="s">
        <v>155</v>
      </c>
      <c r="E504" s="24">
        <v>0</v>
      </c>
      <c r="F504" s="24">
        <v>4</v>
      </c>
      <c r="G504" s="24"/>
      <c r="H504" s="24"/>
    </row>
    <row r="505" spans="1:8" ht="15" customHeight="1" x14ac:dyDescent="0.3">
      <c r="A505" s="34" t="s">
        <v>1140</v>
      </c>
      <c r="B505" s="35" t="s">
        <v>1141</v>
      </c>
      <c r="C505" s="35" t="s">
        <v>216</v>
      </c>
      <c r="D505" s="34" t="s">
        <v>155</v>
      </c>
      <c r="E505" s="34">
        <v>6</v>
      </c>
      <c r="F505" s="34">
        <v>10</v>
      </c>
      <c r="G505" s="34"/>
      <c r="H505" s="34"/>
    </row>
    <row r="506" spans="1:8" ht="15" customHeight="1" x14ac:dyDescent="0.3">
      <c r="A506" s="24" t="s">
        <v>1142</v>
      </c>
      <c r="B506" s="23" t="s">
        <v>1143</v>
      </c>
      <c r="C506" s="23" t="s">
        <v>164</v>
      </c>
      <c r="D506" s="24" t="s">
        <v>155</v>
      </c>
      <c r="E506" s="24">
        <v>0</v>
      </c>
      <c r="F506" s="24">
        <v>1</v>
      </c>
      <c r="G506" s="24"/>
      <c r="H506" s="24"/>
    </row>
    <row r="507" spans="1:8" ht="15" customHeight="1" x14ac:dyDescent="0.3">
      <c r="A507" s="34" t="s">
        <v>1144</v>
      </c>
      <c r="B507" s="35" t="s">
        <v>1145</v>
      </c>
      <c r="C507" s="35" t="s">
        <v>158</v>
      </c>
      <c r="D507" s="34" t="s">
        <v>155</v>
      </c>
      <c r="E507" s="34">
        <v>0</v>
      </c>
      <c r="F507" s="34">
        <v>2</v>
      </c>
      <c r="G507" s="34"/>
      <c r="H507" s="34"/>
    </row>
    <row r="508" spans="1:8" ht="15" customHeight="1" x14ac:dyDescent="0.3">
      <c r="A508" s="24" t="s">
        <v>1146</v>
      </c>
      <c r="B508" s="23" t="s">
        <v>1147</v>
      </c>
      <c r="C508" s="23" t="s">
        <v>158</v>
      </c>
      <c r="D508" s="24" t="s">
        <v>155</v>
      </c>
      <c r="E508" s="24">
        <v>97</v>
      </c>
      <c r="F508" s="24">
        <v>7</v>
      </c>
      <c r="G508" s="24"/>
      <c r="H508" s="24"/>
    </row>
    <row r="509" spans="1:8" ht="15" customHeight="1" x14ac:dyDescent="0.3">
      <c r="A509" s="34" t="s">
        <v>1148</v>
      </c>
      <c r="B509" s="35" t="s">
        <v>1149</v>
      </c>
      <c r="C509" s="35" t="s">
        <v>164</v>
      </c>
      <c r="D509" s="34" t="s">
        <v>155</v>
      </c>
      <c r="E509" s="34">
        <v>0</v>
      </c>
      <c r="F509" s="34">
        <v>1</v>
      </c>
      <c r="G509" s="34"/>
      <c r="H509" s="34"/>
    </row>
    <row r="510" spans="1:8" ht="15" customHeight="1" x14ac:dyDescent="0.3">
      <c r="A510" s="24" t="s">
        <v>1150</v>
      </c>
      <c r="B510" s="23" t="s">
        <v>1151</v>
      </c>
      <c r="C510" s="23" t="s">
        <v>171</v>
      </c>
      <c r="D510" s="24" t="s">
        <v>155</v>
      </c>
      <c r="E510" s="24">
        <v>0</v>
      </c>
      <c r="F510" s="24">
        <v>2</v>
      </c>
      <c r="G510" s="24"/>
      <c r="H510" s="24"/>
    </row>
    <row r="511" spans="1:8" ht="15" customHeight="1" x14ac:dyDescent="0.3">
      <c r="A511" s="34" t="s">
        <v>1152</v>
      </c>
      <c r="B511" s="35" t="s">
        <v>1153</v>
      </c>
      <c r="C511" s="35" t="s">
        <v>164</v>
      </c>
      <c r="D511" s="34" t="s">
        <v>155</v>
      </c>
      <c r="E511" s="34">
        <v>0</v>
      </c>
      <c r="F511" s="34">
        <v>5</v>
      </c>
      <c r="G511" s="34"/>
      <c r="H511" s="34"/>
    </row>
    <row r="512" spans="1:8" ht="15" customHeight="1" x14ac:dyDescent="0.3">
      <c r="A512" s="24" t="s">
        <v>1154</v>
      </c>
      <c r="B512" s="23" t="s">
        <v>1155</v>
      </c>
      <c r="C512" s="23" t="s">
        <v>164</v>
      </c>
      <c r="D512" s="24" t="s">
        <v>155</v>
      </c>
      <c r="E512" s="24">
        <v>0</v>
      </c>
      <c r="F512" s="24">
        <v>3</v>
      </c>
      <c r="G512" s="24"/>
      <c r="H512" s="24"/>
    </row>
    <row r="513" spans="1:8" ht="15" customHeight="1" x14ac:dyDescent="0.3">
      <c r="A513" s="34" t="s">
        <v>1156</v>
      </c>
      <c r="B513" s="35" t="s">
        <v>1157</v>
      </c>
      <c r="C513" s="35" t="s">
        <v>158</v>
      </c>
      <c r="D513" s="34" t="s">
        <v>155</v>
      </c>
      <c r="E513" s="34">
        <v>0</v>
      </c>
      <c r="F513" s="34">
        <v>2</v>
      </c>
      <c r="G513" s="34"/>
      <c r="H513" s="34"/>
    </row>
    <row r="514" spans="1:8" ht="15" customHeight="1" x14ac:dyDescent="0.3">
      <c r="A514" s="24" t="s">
        <v>1158</v>
      </c>
      <c r="B514" s="23" t="s">
        <v>1159</v>
      </c>
      <c r="C514" s="23" t="s">
        <v>164</v>
      </c>
      <c r="D514" s="24" t="s">
        <v>155</v>
      </c>
      <c r="E514" s="24">
        <v>0</v>
      </c>
      <c r="F514" s="24">
        <v>2</v>
      </c>
      <c r="G514" s="24"/>
      <c r="H514" s="24"/>
    </row>
    <row r="515" spans="1:8" ht="15" customHeight="1" x14ac:dyDescent="0.3">
      <c r="A515" s="34" t="s">
        <v>1160</v>
      </c>
      <c r="B515" s="35" t="s">
        <v>1161</v>
      </c>
      <c r="C515" s="35" t="s">
        <v>158</v>
      </c>
      <c r="D515" s="34" t="s">
        <v>155</v>
      </c>
      <c r="E515" s="34">
        <v>0</v>
      </c>
      <c r="F515" s="34">
        <v>1</v>
      </c>
      <c r="G515" s="34"/>
      <c r="H515" s="34"/>
    </row>
    <row r="516" spans="1:8" ht="15" customHeight="1" x14ac:dyDescent="0.3">
      <c r="A516" s="24" t="s">
        <v>1162</v>
      </c>
      <c r="B516" s="23" t="s">
        <v>1163</v>
      </c>
      <c r="C516" s="23" t="s">
        <v>154</v>
      </c>
      <c r="D516" s="24" t="s">
        <v>155</v>
      </c>
      <c r="E516" s="24">
        <v>0</v>
      </c>
      <c r="F516" s="24">
        <v>2</v>
      </c>
      <c r="G516" s="24"/>
      <c r="H516" s="24"/>
    </row>
    <row r="517" spans="1:8" ht="15" customHeight="1" x14ac:dyDescent="0.3">
      <c r="A517" s="34" t="s">
        <v>1164</v>
      </c>
      <c r="B517" s="35" t="s">
        <v>1165</v>
      </c>
      <c r="C517" s="35" t="s">
        <v>213</v>
      </c>
      <c r="D517" s="34" t="s">
        <v>155</v>
      </c>
      <c r="E517" s="34">
        <v>0</v>
      </c>
      <c r="F517" s="34">
        <v>1</v>
      </c>
      <c r="G517" s="34"/>
      <c r="H517" s="34"/>
    </row>
    <row r="518" spans="1:8" ht="15" customHeight="1" x14ac:dyDescent="0.3">
      <c r="A518" s="24" t="s">
        <v>1166</v>
      </c>
      <c r="B518" s="23" t="s">
        <v>1167</v>
      </c>
      <c r="C518" s="23" t="s">
        <v>158</v>
      </c>
      <c r="D518" s="24" t="s">
        <v>155</v>
      </c>
      <c r="E518" s="24">
        <v>0</v>
      </c>
      <c r="F518" s="24">
        <v>2</v>
      </c>
      <c r="G518" s="24"/>
      <c r="H518" s="24"/>
    </row>
    <row r="519" spans="1:8" ht="15" customHeight="1" x14ac:dyDescent="0.3">
      <c r="A519" s="34" t="s">
        <v>1168</v>
      </c>
      <c r="B519" s="35" t="s">
        <v>1169</v>
      </c>
      <c r="C519" s="35" t="s">
        <v>833</v>
      </c>
      <c r="D519" s="34" t="s">
        <v>155</v>
      </c>
      <c r="E519" s="34">
        <v>0</v>
      </c>
      <c r="F519" s="34">
        <v>4</v>
      </c>
      <c r="G519" s="34"/>
      <c r="H519" s="34"/>
    </row>
    <row r="520" spans="1:8" ht="15" customHeight="1" x14ac:dyDescent="0.3">
      <c r="A520" s="24" t="s">
        <v>1170</v>
      </c>
      <c r="B520" s="23" t="s">
        <v>1171</v>
      </c>
      <c r="C520" s="23" t="s">
        <v>185</v>
      </c>
      <c r="D520" s="24" t="s">
        <v>155</v>
      </c>
      <c r="E520" s="24">
        <v>0</v>
      </c>
      <c r="F520" s="24">
        <v>1</v>
      </c>
      <c r="G520" s="24"/>
      <c r="H520" s="24"/>
    </row>
    <row r="521" spans="1:8" ht="15" customHeight="1" x14ac:dyDescent="0.3">
      <c r="A521" s="34" t="s">
        <v>1172</v>
      </c>
      <c r="B521" s="35" t="s">
        <v>1173</v>
      </c>
      <c r="C521" s="35" t="s">
        <v>416</v>
      </c>
      <c r="D521" s="34" t="s">
        <v>155</v>
      </c>
      <c r="E521" s="34">
        <v>0</v>
      </c>
      <c r="F521" s="34">
        <v>2</v>
      </c>
      <c r="G521" s="34"/>
      <c r="H521" s="34"/>
    </row>
    <row r="522" spans="1:8" ht="15" customHeight="1" x14ac:dyDescent="0.3">
      <c r="A522" s="24" t="s">
        <v>1174</v>
      </c>
      <c r="B522" s="23" t="s">
        <v>1175</v>
      </c>
      <c r="C522" s="23" t="s">
        <v>309</v>
      </c>
      <c r="D522" s="24" t="s">
        <v>155</v>
      </c>
      <c r="E522" s="24">
        <v>0</v>
      </c>
      <c r="F522" s="24">
        <v>4</v>
      </c>
      <c r="G522" s="24"/>
      <c r="H522" s="24"/>
    </row>
    <row r="523" spans="1:8" ht="15" customHeight="1" x14ac:dyDescent="0.3">
      <c r="A523" s="34" t="s">
        <v>1176</v>
      </c>
      <c r="B523" s="35" t="s">
        <v>1177</v>
      </c>
      <c r="C523" s="35" t="s">
        <v>171</v>
      </c>
      <c r="D523" s="34" t="s">
        <v>155</v>
      </c>
      <c r="E523" s="34">
        <v>0</v>
      </c>
      <c r="F523" s="34">
        <v>5</v>
      </c>
      <c r="G523" s="34"/>
      <c r="H523" s="34"/>
    </row>
    <row r="524" spans="1:8" ht="15" customHeight="1" x14ac:dyDescent="0.3">
      <c r="A524" s="24" t="s">
        <v>1178</v>
      </c>
      <c r="B524" s="23" t="s">
        <v>1179</v>
      </c>
      <c r="C524" s="23" t="s">
        <v>185</v>
      </c>
      <c r="D524" s="24" t="s">
        <v>155</v>
      </c>
      <c r="E524" s="24">
        <v>159</v>
      </c>
      <c r="F524" s="24">
        <v>12</v>
      </c>
      <c r="G524" s="24"/>
      <c r="H524" s="24"/>
    </row>
    <row r="525" spans="1:8" ht="15" customHeight="1" x14ac:dyDescent="0.3">
      <c r="A525" s="34" t="s">
        <v>1180</v>
      </c>
      <c r="B525" s="35" t="s">
        <v>1181</v>
      </c>
      <c r="C525" s="35" t="s">
        <v>158</v>
      </c>
      <c r="D525" s="34" t="s">
        <v>155</v>
      </c>
      <c r="E525" s="34">
        <v>0</v>
      </c>
      <c r="F525" s="34">
        <v>3</v>
      </c>
      <c r="G525" s="34"/>
      <c r="H525" s="34"/>
    </row>
    <row r="526" spans="1:8" ht="15" customHeight="1" x14ac:dyDescent="0.3">
      <c r="A526" s="24" t="s">
        <v>1182</v>
      </c>
      <c r="B526" s="23" t="s">
        <v>1183</v>
      </c>
      <c r="C526" s="23" t="s">
        <v>164</v>
      </c>
      <c r="D526" s="24" t="s">
        <v>155</v>
      </c>
      <c r="E526" s="24">
        <v>0</v>
      </c>
      <c r="F526" s="24">
        <v>2</v>
      </c>
      <c r="G526" s="24"/>
      <c r="H526" s="24"/>
    </row>
    <row r="527" spans="1:8" ht="15" customHeight="1" x14ac:dyDescent="0.3">
      <c r="A527" s="34" t="s">
        <v>1184</v>
      </c>
      <c r="B527" s="35" t="s">
        <v>1185</v>
      </c>
      <c r="C527" s="35" t="s">
        <v>158</v>
      </c>
      <c r="D527" s="34" t="s">
        <v>155</v>
      </c>
      <c r="E527" s="34">
        <v>0</v>
      </c>
      <c r="F527" s="34">
        <v>4</v>
      </c>
      <c r="G527" s="34"/>
      <c r="H527" s="34"/>
    </row>
    <row r="528" spans="1:8" ht="15" customHeight="1" x14ac:dyDescent="0.3">
      <c r="A528" s="24" t="s">
        <v>1186</v>
      </c>
      <c r="B528" s="23" t="s">
        <v>1187</v>
      </c>
      <c r="C528" s="23" t="s">
        <v>164</v>
      </c>
      <c r="D528" s="24" t="s">
        <v>155</v>
      </c>
      <c r="E528" s="24">
        <v>0</v>
      </c>
      <c r="F528" s="24">
        <v>2</v>
      </c>
      <c r="G528" s="24"/>
      <c r="H528" s="24"/>
    </row>
    <row r="529" spans="1:8" ht="15" customHeight="1" x14ac:dyDescent="0.3">
      <c r="A529" s="34" t="s">
        <v>1188</v>
      </c>
      <c r="B529" s="35" t="s">
        <v>1189</v>
      </c>
      <c r="C529" s="35" t="s">
        <v>309</v>
      </c>
      <c r="D529" s="34" t="s">
        <v>155</v>
      </c>
      <c r="E529" s="34">
        <v>0</v>
      </c>
      <c r="F529" s="34">
        <v>1</v>
      </c>
      <c r="G529" s="34"/>
      <c r="H529" s="34"/>
    </row>
    <row r="530" spans="1:8" ht="15" customHeight="1" x14ac:dyDescent="0.3">
      <c r="A530" s="24" t="s">
        <v>1190</v>
      </c>
      <c r="B530" s="23" t="s">
        <v>1191</v>
      </c>
      <c r="C530" s="23" t="s">
        <v>309</v>
      </c>
      <c r="D530" s="24" t="s">
        <v>155</v>
      </c>
      <c r="E530" s="24">
        <v>0</v>
      </c>
      <c r="F530" s="24">
        <v>1</v>
      </c>
      <c r="G530" s="24"/>
      <c r="H530" s="24"/>
    </row>
    <row r="531" spans="1:8" ht="15" customHeight="1" x14ac:dyDescent="0.3">
      <c r="A531" s="34" t="s">
        <v>1192</v>
      </c>
      <c r="B531" s="35" t="s">
        <v>1193</v>
      </c>
      <c r="C531" s="35" t="s">
        <v>309</v>
      </c>
      <c r="D531" s="34" t="s">
        <v>155</v>
      </c>
      <c r="E531" s="34">
        <v>0</v>
      </c>
      <c r="F531" s="34">
        <v>2</v>
      </c>
      <c r="G531" s="34"/>
      <c r="H531" s="34"/>
    </row>
    <row r="532" spans="1:8" ht="15" customHeight="1" x14ac:dyDescent="0.3">
      <c r="A532" s="24" t="s">
        <v>1194</v>
      </c>
      <c r="B532" s="23" t="s">
        <v>1195</v>
      </c>
      <c r="C532" s="23" t="s">
        <v>216</v>
      </c>
      <c r="D532" s="24" t="s">
        <v>155</v>
      </c>
      <c r="E532" s="24">
        <v>0</v>
      </c>
      <c r="F532" s="24">
        <v>3</v>
      </c>
      <c r="G532" s="24"/>
      <c r="H532" s="24"/>
    </row>
    <row r="533" spans="1:8" ht="15" customHeight="1" x14ac:dyDescent="0.3">
      <c r="A533" s="34" t="s">
        <v>1196</v>
      </c>
      <c r="B533" s="35" t="s">
        <v>1197</v>
      </c>
      <c r="C533" s="35" t="s">
        <v>158</v>
      </c>
      <c r="D533" s="34" t="s">
        <v>155</v>
      </c>
      <c r="E533" s="34">
        <v>1</v>
      </c>
      <c r="F533" s="34">
        <v>7</v>
      </c>
      <c r="G533" s="34"/>
      <c r="H533" s="34"/>
    </row>
    <row r="534" spans="1:8" ht="15" customHeight="1" x14ac:dyDescent="0.3">
      <c r="A534" s="24" t="s">
        <v>1198</v>
      </c>
      <c r="B534" s="23" t="s">
        <v>1199</v>
      </c>
      <c r="C534" s="23" t="s">
        <v>158</v>
      </c>
      <c r="D534" s="24" t="s">
        <v>155</v>
      </c>
      <c r="E534" s="24">
        <v>1</v>
      </c>
      <c r="F534" s="24">
        <v>5</v>
      </c>
      <c r="G534" s="24"/>
      <c r="H534" s="24"/>
    </row>
    <row r="535" spans="1:8" ht="15" customHeight="1" x14ac:dyDescent="0.3">
      <c r="A535" s="34" t="s">
        <v>1200</v>
      </c>
      <c r="B535" s="35" t="s">
        <v>1201</v>
      </c>
      <c r="C535" s="35" t="s">
        <v>164</v>
      </c>
      <c r="D535" s="34" t="s">
        <v>155</v>
      </c>
      <c r="E535" s="34">
        <v>0</v>
      </c>
      <c r="F535" s="34">
        <v>1</v>
      </c>
      <c r="G535" s="34"/>
      <c r="H535" s="34"/>
    </row>
    <row r="536" spans="1:8" ht="15" customHeight="1" x14ac:dyDescent="0.3">
      <c r="A536" s="24" t="s">
        <v>1202</v>
      </c>
      <c r="B536" s="23" t="s">
        <v>1203</v>
      </c>
      <c r="C536" s="23" t="s">
        <v>171</v>
      </c>
      <c r="D536" s="24" t="s">
        <v>155</v>
      </c>
      <c r="E536" s="24"/>
      <c r="F536" s="24"/>
      <c r="G536" s="24"/>
      <c r="H536" s="24"/>
    </row>
    <row r="537" spans="1:8" ht="15" customHeight="1" x14ac:dyDescent="0.3">
      <c r="A537" s="34" t="s">
        <v>1204</v>
      </c>
      <c r="B537" s="35" t="s">
        <v>1205</v>
      </c>
      <c r="C537" s="35" t="s">
        <v>309</v>
      </c>
      <c r="D537" s="34" t="s">
        <v>155</v>
      </c>
      <c r="E537" s="34">
        <v>0</v>
      </c>
      <c r="F537" s="34">
        <v>3</v>
      </c>
      <c r="G537" s="34"/>
      <c r="H537" s="34"/>
    </row>
    <row r="538" spans="1:8" ht="15" customHeight="1" x14ac:dyDescent="0.3">
      <c r="A538" s="24" t="s">
        <v>1206</v>
      </c>
      <c r="B538" s="23" t="s">
        <v>1207</v>
      </c>
      <c r="C538" s="23" t="s">
        <v>216</v>
      </c>
      <c r="D538" s="24" t="s">
        <v>155</v>
      </c>
      <c r="E538" s="24">
        <v>5</v>
      </c>
      <c r="F538" s="24">
        <v>7</v>
      </c>
      <c r="G538" s="24"/>
      <c r="H538" s="24"/>
    </row>
    <row r="539" spans="1:8" ht="15" customHeight="1" x14ac:dyDescent="0.3">
      <c r="A539" s="34" t="s">
        <v>1208</v>
      </c>
      <c r="B539" s="35" t="s">
        <v>1209</v>
      </c>
      <c r="C539" s="35" t="s">
        <v>589</v>
      </c>
      <c r="D539" s="34" t="s">
        <v>155</v>
      </c>
      <c r="E539" s="34">
        <v>0</v>
      </c>
      <c r="F539" s="34">
        <v>1</v>
      </c>
      <c r="G539" s="34"/>
      <c r="H539" s="34"/>
    </row>
    <row r="540" spans="1:8" ht="15" customHeight="1" x14ac:dyDescent="0.3">
      <c r="A540" s="24" t="s">
        <v>1210</v>
      </c>
      <c r="B540" s="23" t="s">
        <v>1211</v>
      </c>
      <c r="C540" s="23" t="s">
        <v>164</v>
      </c>
      <c r="D540" s="24" t="s">
        <v>155</v>
      </c>
      <c r="E540" s="24">
        <v>0</v>
      </c>
      <c r="F540" s="24">
        <v>1</v>
      </c>
      <c r="G540" s="24"/>
      <c r="H540" s="24"/>
    </row>
    <row r="541" spans="1:8" ht="15" customHeight="1" x14ac:dyDescent="0.3">
      <c r="A541" s="34" t="s">
        <v>1212</v>
      </c>
      <c r="B541" s="35" t="s">
        <v>1213</v>
      </c>
      <c r="C541" s="35" t="s">
        <v>185</v>
      </c>
      <c r="D541" s="34" t="s">
        <v>155</v>
      </c>
      <c r="E541" s="34">
        <v>0</v>
      </c>
      <c r="F541" s="34">
        <v>2</v>
      </c>
      <c r="G541" s="34"/>
      <c r="H541" s="34"/>
    </row>
    <row r="542" spans="1:8" ht="15" customHeight="1" x14ac:dyDescent="0.3">
      <c r="A542" s="24" t="s">
        <v>1214</v>
      </c>
      <c r="B542" s="23" t="s">
        <v>1215</v>
      </c>
      <c r="C542" s="23" t="s">
        <v>164</v>
      </c>
      <c r="D542" s="24" t="s">
        <v>155</v>
      </c>
      <c r="E542" s="24">
        <v>0</v>
      </c>
      <c r="F542" s="24">
        <v>1</v>
      </c>
      <c r="G542" s="24"/>
      <c r="H542" s="24"/>
    </row>
    <row r="543" spans="1:8" ht="15" customHeight="1" x14ac:dyDescent="0.3">
      <c r="A543" s="34" t="s">
        <v>1216</v>
      </c>
      <c r="B543" s="35" t="s">
        <v>1217</v>
      </c>
      <c r="C543" s="35" t="s">
        <v>213</v>
      </c>
      <c r="D543" s="34" t="s">
        <v>155</v>
      </c>
      <c r="E543" s="34">
        <v>0</v>
      </c>
      <c r="F543" s="34">
        <v>2</v>
      </c>
      <c r="G543" s="34"/>
      <c r="H543" s="34"/>
    </row>
    <row r="544" spans="1:8" ht="15" customHeight="1" x14ac:dyDescent="0.3">
      <c r="A544" s="24" t="s">
        <v>1218</v>
      </c>
      <c r="B544" s="23" t="s">
        <v>1219</v>
      </c>
      <c r="C544" s="23" t="s">
        <v>171</v>
      </c>
      <c r="D544" s="24" t="s">
        <v>155</v>
      </c>
      <c r="E544" s="24">
        <v>87</v>
      </c>
      <c r="F544" s="24">
        <v>7</v>
      </c>
      <c r="G544" s="24"/>
      <c r="H544" s="24"/>
    </row>
    <row r="545" spans="1:8" ht="15" customHeight="1" x14ac:dyDescent="0.3">
      <c r="A545" s="34" t="s">
        <v>1220</v>
      </c>
      <c r="B545" s="35" t="s">
        <v>1221</v>
      </c>
      <c r="C545" s="35" t="s">
        <v>216</v>
      </c>
      <c r="D545" s="34" t="s">
        <v>155</v>
      </c>
      <c r="E545" s="34">
        <v>0</v>
      </c>
      <c r="F545" s="34">
        <v>1</v>
      </c>
      <c r="G545" s="34"/>
      <c r="H545" s="34"/>
    </row>
    <row r="546" spans="1:8" ht="15" customHeight="1" x14ac:dyDescent="0.3">
      <c r="A546" s="24" t="s">
        <v>1222</v>
      </c>
      <c r="B546" s="23" t="s">
        <v>1223</v>
      </c>
      <c r="C546" s="23" t="s">
        <v>213</v>
      </c>
      <c r="D546" s="24" t="s">
        <v>155</v>
      </c>
      <c r="E546" s="24">
        <v>0</v>
      </c>
      <c r="F546" s="24">
        <v>2</v>
      </c>
      <c r="G546" s="24"/>
      <c r="H546" s="24"/>
    </row>
    <row r="547" spans="1:8" ht="15" customHeight="1" x14ac:dyDescent="0.3">
      <c r="A547" s="34" t="s">
        <v>1224</v>
      </c>
      <c r="B547" s="35" t="s">
        <v>1225</v>
      </c>
      <c r="C547" s="35" t="s">
        <v>164</v>
      </c>
      <c r="D547" s="34" t="s">
        <v>155</v>
      </c>
      <c r="E547" s="34">
        <v>0</v>
      </c>
      <c r="F547" s="34">
        <v>3</v>
      </c>
      <c r="G547" s="34"/>
      <c r="H547" s="34"/>
    </row>
    <row r="548" spans="1:8" ht="15" customHeight="1" x14ac:dyDescent="0.3">
      <c r="A548" s="24" t="s">
        <v>1226</v>
      </c>
      <c r="B548" s="23" t="s">
        <v>1227</v>
      </c>
      <c r="C548" s="23" t="s">
        <v>635</v>
      </c>
      <c r="D548" s="24" t="s">
        <v>155</v>
      </c>
      <c r="E548" s="24">
        <v>0</v>
      </c>
      <c r="F548" s="24">
        <v>5</v>
      </c>
      <c r="G548" s="24"/>
      <c r="H548" s="24"/>
    </row>
    <row r="549" spans="1:8" ht="15" customHeight="1" x14ac:dyDescent="0.3">
      <c r="A549" s="34" t="s">
        <v>1228</v>
      </c>
      <c r="B549" s="35" t="s">
        <v>1229</v>
      </c>
      <c r="C549" s="35" t="s">
        <v>185</v>
      </c>
      <c r="D549" s="34" t="s">
        <v>155</v>
      </c>
      <c r="E549" s="34">
        <v>95</v>
      </c>
      <c r="F549" s="34">
        <v>11</v>
      </c>
      <c r="G549" s="34"/>
      <c r="H549" s="34"/>
    </row>
    <row r="550" spans="1:8" ht="15" customHeight="1" x14ac:dyDescent="0.3">
      <c r="A550" s="24" t="s">
        <v>1230</v>
      </c>
      <c r="B550" s="23" t="s">
        <v>1231</v>
      </c>
      <c r="C550" s="23" t="s">
        <v>309</v>
      </c>
      <c r="D550" s="24" t="s">
        <v>155</v>
      </c>
      <c r="E550" s="24">
        <v>0</v>
      </c>
      <c r="F550" s="24">
        <v>1</v>
      </c>
      <c r="G550" s="24"/>
      <c r="H550" s="24"/>
    </row>
    <row r="551" spans="1:8" ht="15" customHeight="1" x14ac:dyDescent="0.3">
      <c r="A551" s="34" t="s">
        <v>1232</v>
      </c>
      <c r="B551" s="35" t="s">
        <v>1233</v>
      </c>
      <c r="C551" s="35" t="s">
        <v>171</v>
      </c>
      <c r="D551" s="34" t="s">
        <v>155</v>
      </c>
      <c r="E551" s="34">
        <v>5</v>
      </c>
      <c r="F551" s="34">
        <v>4</v>
      </c>
      <c r="G551" s="34"/>
      <c r="H551" s="34"/>
    </row>
    <row r="552" spans="1:8" ht="15" customHeight="1" x14ac:dyDescent="0.3">
      <c r="A552" s="24" t="s">
        <v>1234</v>
      </c>
      <c r="B552" s="23" t="s">
        <v>1235</v>
      </c>
      <c r="C552" s="23" t="s">
        <v>164</v>
      </c>
      <c r="D552" s="24" t="s">
        <v>155</v>
      </c>
      <c r="E552" s="24">
        <v>0</v>
      </c>
      <c r="F552" s="24">
        <v>1</v>
      </c>
      <c r="G552" s="24"/>
      <c r="H552" s="24"/>
    </row>
    <row r="553" spans="1:8" ht="15" customHeight="1" x14ac:dyDescent="0.3">
      <c r="A553" s="34" t="s">
        <v>1236</v>
      </c>
      <c r="B553" s="35" t="s">
        <v>1237</v>
      </c>
      <c r="C553" s="35" t="s">
        <v>164</v>
      </c>
      <c r="D553" s="34" t="s">
        <v>155</v>
      </c>
      <c r="E553" s="34">
        <v>0</v>
      </c>
      <c r="F553" s="34">
        <v>2</v>
      </c>
      <c r="G553" s="34"/>
      <c r="H553" s="34"/>
    </row>
    <row r="554" spans="1:8" ht="15" customHeight="1" x14ac:dyDescent="0.3">
      <c r="A554" s="24" t="s">
        <v>1238</v>
      </c>
      <c r="B554" s="23" t="s">
        <v>1239</v>
      </c>
      <c r="C554" s="23" t="s">
        <v>158</v>
      </c>
      <c r="D554" s="24" t="s">
        <v>155</v>
      </c>
      <c r="E554" s="24">
        <v>0</v>
      </c>
      <c r="F554" s="24">
        <v>5</v>
      </c>
      <c r="G554" s="24"/>
      <c r="H554" s="24"/>
    </row>
    <row r="555" spans="1:8" ht="15" customHeight="1" x14ac:dyDescent="0.3">
      <c r="A555" s="34" t="s">
        <v>1240</v>
      </c>
      <c r="B555" s="35" t="s">
        <v>1241</v>
      </c>
      <c r="C555" s="35" t="s">
        <v>164</v>
      </c>
      <c r="D555" s="34" t="s">
        <v>155</v>
      </c>
      <c r="E555" s="34">
        <v>0</v>
      </c>
      <c r="F555" s="34">
        <v>2</v>
      </c>
      <c r="G555" s="34"/>
      <c r="H555" s="34"/>
    </row>
    <row r="556" spans="1:8" ht="15" customHeight="1" x14ac:dyDescent="0.3">
      <c r="A556" s="24" t="s">
        <v>1242</v>
      </c>
      <c r="B556" s="23" t="s">
        <v>1243</v>
      </c>
      <c r="C556" s="23" t="s">
        <v>216</v>
      </c>
      <c r="D556" s="24" t="s">
        <v>155</v>
      </c>
      <c r="E556" s="24">
        <v>0</v>
      </c>
      <c r="F556" s="24">
        <v>4</v>
      </c>
      <c r="G556" s="24"/>
      <c r="H556" s="24"/>
    </row>
    <row r="557" spans="1:8" ht="15" customHeight="1" x14ac:dyDescent="0.3">
      <c r="A557" s="34" t="s">
        <v>1244</v>
      </c>
      <c r="B557" s="35" t="s">
        <v>1245</v>
      </c>
      <c r="C557" s="35" t="s">
        <v>589</v>
      </c>
      <c r="D557" s="34" t="s">
        <v>155</v>
      </c>
      <c r="E557" s="34">
        <v>0</v>
      </c>
      <c r="F557" s="34">
        <v>2</v>
      </c>
      <c r="G557" s="34"/>
      <c r="H557" s="34"/>
    </row>
    <row r="558" spans="1:8" ht="15" customHeight="1" x14ac:dyDescent="0.3">
      <c r="A558" s="24" t="s">
        <v>1246</v>
      </c>
      <c r="B558" s="23" t="s">
        <v>1247</v>
      </c>
      <c r="C558" s="23" t="s">
        <v>225</v>
      </c>
      <c r="D558" s="24" t="s">
        <v>155</v>
      </c>
      <c r="E558" s="24">
        <v>0</v>
      </c>
      <c r="F558" s="24">
        <v>1</v>
      </c>
      <c r="G558" s="24"/>
      <c r="H558" s="24"/>
    </row>
    <row r="559" spans="1:8" ht="15" customHeight="1" x14ac:dyDescent="0.3">
      <c r="A559" s="34" t="s">
        <v>1248</v>
      </c>
      <c r="B559" s="35" t="s">
        <v>1249</v>
      </c>
      <c r="C559" s="35" t="s">
        <v>164</v>
      </c>
      <c r="D559" s="34" t="s">
        <v>155</v>
      </c>
      <c r="E559" s="34">
        <v>0</v>
      </c>
      <c r="F559" s="34">
        <v>1</v>
      </c>
      <c r="G559" s="34"/>
      <c r="H559" s="34"/>
    </row>
    <row r="560" spans="1:8" ht="15" customHeight="1" x14ac:dyDescent="0.3">
      <c r="A560" s="24" t="s">
        <v>1250</v>
      </c>
      <c r="B560" s="23" t="s">
        <v>1251</v>
      </c>
      <c r="C560" s="23" t="s">
        <v>171</v>
      </c>
      <c r="D560" s="24" t="s">
        <v>155</v>
      </c>
      <c r="E560" s="24">
        <v>0</v>
      </c>
      <c r="F560" s="24">
        <v>1</v>
      </c>
      <c r="G560" s="24"/>
      <c r="H560" s="24"/>
    </row>
    <row r="561" spans="1:8" ht="15" customHeight="1" x14ac:dyDescent="0.3">
      <c r="A561" s="34" t="s">
        <v>1252</v>
      </c>
      <c r="B561" s="35" t="s">
        <v>1253</v>
      </c>
      <c r="C561" s="35" t="s">
        <v>164</v>
      </c>
      <c r="D561" s="34" t="s">
        <v>155</v>
      </c>
      <c r="E561" s="34">
        <v>0</v>
      </c>
      <c r="F561" s="34">
        <v>4</v>
      </c>
      <c r="G561" s="34"/>
      <c r="H561" s="34"/>
    </row>
    <row r="562" spans="1:8" ht="15" customHeight="1" x14ac:dyDescent="0.3">
      <c r="A562" s="24" t="s">
        <v>1254</v>
      </c>
      <c r="B562" s="23" t="s">
        <v>1255</v>
      </c>
      <c r="C562" s="23" t="s">
        <v>198</v>
      </c>
      <c r="D562" s="24" t="s">
        <v>155</v>
      </c>
      <c r="E562" s="24">
        <v>0</v>
      </c>
      <c r="F562" s="24">
        <v>1</v>
      </c>
      <c r="G562" s="24"/>
      <c r="H562" s="24"/>
    </row>
    <row r="563" spans="1:8" ht="15" customHeight="1" x14ac:dyDescent="0.3">
      <c r="A563" s="34" t="s">
        <v>1256</v>
      </c>
      <c r="B563" s="35" t="s">
        <v>1257</v>
      </c>
      <c r="C563" s="35" t="s">
        <v>164</v>
      </c>
      <c r="D563" s="34" t="s">
        <v>155</v>
      </c>
      <c r="E563" s="34">
        <v>0</v>
      </c>
      <c r="F563" s="34">
        <v>1</v>
      </c>
      <c r="G563" s="34"/>
      <c r="H563" s="34"/>
    </row>
    <row r="564" spans="1:8" ht="15" customHeight="1" x14ac:dyDescent="0.3">
      <c r="A564" s="24" t="s">
        <v>1258</v>
      </c>
      <c r="B564" s="23" t="s">
        <v>1259</v>
      </c>
      <c r="C564" s="23" t="s">
        <v>164</v>
      </c>
      <c r="D564" s="24" t="s">
        <v>155</v>
      </c>
      <c r="E564" s="24">
        <v>0</v>
      </c>
      <c r="F564" s="24">
        <v>2</v>
      </c>
      <c r="G564" s="24"/>
      <c r="H564" s="24"/>
    </row>
    <row r="565" spans="1:8" ht="15" customHeight="1" x14ac:dyDescent="0.3">
      <c r="A565" s="34" t="s">
        <v>1260</v>
      </c>
      <c r="B565" s="35" t="s">
        <v>1261</v>
      </c>
      <c r="C565" s="35" t="s">
        <v>198</v>
      </c>
      <c r="D565" s="34" t="s">
        <v>155</v>
      </c>
      <c r="E565" s="34">
        <v>0</v>
      </c>
      <c r="F565" s="34">
        <v>3</v>
      </c>
      <c r="G565" s="34"/>
      <c r="H565" s="34"/>
    </row>
    <row r="566" spans="1:8" ht="15" customHeight="1" x14ac:dyDescent="0.3">
      <c r="A566" s="24" t="s">
        <v>1262</v>
      </c>
      <c r="B566" s="23" t="s">
        <v>1263</v>
      </c>
      <c r="C566" s="23" t="s">
        <v>164</v>
      </c>
      <c r="D566" s="24" t="s">
        <v>155</v>
      </c>
      <c r="E566" s="24">
        <v>0</v>
      </c>
      <c r="F566" s="24">
        <v>3</v>
      </c>
      <c r="G566" s="24"/>
      <c r="H566" s="24"/>
    </row>
    <row r="567" spans="1:8" ht="15" customHeight="1" x14ac:dyDescent="0.3">
      <c r="A567" s="34" t="s">
        <v>1264</v>
      </c>
      <c r="B567" s="35" t="s">
        <v>1265</v>
      </c>
      <c r="C567" s="35" t="s">
        <v>309</v>
      </c>
      <c r="D567" s="34" t="s">
        <v>155</v>
      </c>
      <c r="E567" s="34">
        <v>0</v>
      </c>
      <c r="F567" s="34">
        <v>1</v>
      </c>
      <c r="G567" s="34"/>
      <c r="H567" s="34"/>
    </row>
    <row r="568" spans="1:8" ht="15" customHeight="1" x14ac:dyDescent="0.3">
      <c r="A568" s="24" t="s">
        <v>1266</v>
      </c>
      <c r="B568" s="23" t="s">
        <v>1267</v>
      </c>
      <c r="C568" s="23" t="s">
        <v>158</v>
      </c>
      <c r="D568" s="24" t="s">
        <v>155</v>
      </c>
      <c r="E568" s="24">
        <v>0</v>
      </c>
      <c r="F568" s="24">
        <v>2</v>
      </c>
      <c r="G568" s="24"/>
      <c r="H568" s="24"/>
    </row>
    <row r="569" spans="1:8" ht="15" customHeight="1" x14ac:dyDescent="0.3">
      <c r="A569" s="34" t="s">
        <v>1268</v>
      </c>
      <c r="B569" s="35" t="s">
        <v>1269</v>
      </c>
      <c r="C569" s="35" t="s">
        <v>216</v>
      </c>
      <c r="D569" s="34" t="s">
        <v>155</v>
      </c>
      <c r="E569" s="34">
        <v>0</v>
      </c>
      <c r="F569" s="34">
        <v>2</v>
      </c>
      <c r="G569" s="34"/>
      <c r="H569" s="34"/>
    </row>
    <row r="570" spans="1:8" ht="15" customHeight="1" x14ac:dyDescent="0.3">
      <c r="A570" s="24" t="s">
        <v>1270</v>
      </c>
      <c r="B570" s="23" t="s">
        <v>1271</v>
      </c>
      <c r="C570" s="23" t="s">
        <v>309</v>
      </c>
      <c r="D570" s="24" t="s">
        <v>155</v>
      </c>
      <c r="E570" s="24">
        <v>0</v>
      </c>
      <c r="F570" s="24">
        <v>1</v>
      </c>
      <c r="G570" s="24"/>
      <c r="H570" s="24"/>
    </row>
    <row r="571" spans="1:8" ht="15" customHeight="1" x14ac:dyDescent="0.3">
      <c r="A571" s="34" t="s">
        <v>1272</v>
      </c>
      <c r="B571" s="35" t="s">
        <v>1273</v>
      </c>
      <c r="C571" s="35" t="s">
        <v>164</v>
      </c>
      <c r="D571" s="34" t="s">
        <v>155</v>
      </c>
      <c r="E571" s="34">
        <v>0</v>
      </c>
      <c r="F571" s="34">
        <v>1</v>
      </c>
      <c r="G571" s="34"/>
      <c r="H571" s="34"/>
    </row>
    <row r="572" spans="1:8" ht="15" customHeight="1" x14ac:dyDescent="0.3">
      <c r="A572" s="24" t="s">
        <v>1274</v>
      </c>
      <c r="B572" s="23" t="s">
        <v>1275</v>
      </c>
      <c r="C572" s="23" t="s">
        <v>164</v>
      </c>
      <c r="D572" s="24" t="s">
        <v>155</v>
      </c>
      <c r="E572" s="24">
        <v>0</v>
      </c>
      <c r="F572" s="24">
        <v>1</v>
      </c>
      <c r="G572" s="24"/>
      <c r="H572" s="24"/>
    </row>
    <row r="573" spans="1:8" ht="15" customHeight="1" x14ac:dyDescent="0.3">
      <c r="A573" s="34" t="s">
        <v>1276</v>
      </c>
      <c r="B573" s="35" t="s">
        <v>1277</v>
      </c>
      <c r="C573" s="35" t="s">
        <v>164</v>
      </c>
      <c r="D573" s="34" t="s">
        <v>155</v>
      </c>
      <c r="E573" s="34">
        <v>0</v>
      </c>
      <c r="F573" s="34">
        <v>4</v>
      </c>
      <c r="G573" s="34"/>
      <c r="H573" s="34"/>
    </row>
    <row r="574" spans="1:8" ht="15" customHeight="1" x14ac:dyDescent="0.3">
      <c r="A574" s="24" t="s">
        <v>1278</v>
      </c>
      <c r="B574" s="23" t="s">
        <v>1279</v>
      </c>
      <c r="C574" s="23" t="s">
        <v>164</v>
      </c>
      <c r="D574" s="24" t="s">
        <v>155</v>
      </c>
      <c r="E574" s="24">
        <v>0</v>
      </c>
      <c r="F574" s="24">
        <v>2</v>
      </c>
      <c r="G574" s="24"/>
      <c r="H574" s="24"/>
    </row>
    <row r="575" spans="1:8" ht="15" customHeight="1" x14ac:dyDescent="0.3">
      <c r="A575" s="34" t="s">
        <v>1280</v>
      </c>
      <c r="B575" s="35" t="s">
        <v>1281</v>
      </c>
      <c r="C575" s="35" t="s">
        <v>171</v>
      </c>
      <c r="D575" s="34" t="s">
        <v>155</v>
      </c>
      <c r="E575" s="34">
        <v>0</v>
      </c>
      <c r="F575" s="34">
        <v>1</v>
      </c>
      <c r="G575" s="34"/>
      <c r="H575" s="34"/>
    </row>
    <row r="576" spans="1:8" ht="15" customHeight="1" x14ac:dyDescent="0.3">
      <c r="A576" s="24" t="s">
        <v>1282</v>
      </c>
      <c r="B576" s="23" t="s">
        <v>1283</v>
      </c>
      <c r="C576" s="23" t="s">
        <v>213</v>
      </c>
      <c r="D576" s="24" t="s">
        <v>155</v>
      </c>
      <c r="E576" s="24">
        <v>0</v>
      </c>
      <c r="F576" s="24">
        <v>2</v>
      </c>
      <c r="G576" s="24"/>
      <c r="H576" s="24"/>
    </row>
    <row r="577" spans="1:8" ht="15" customHeight="1" x14ac:dyDescent="0.3">
      <c r="A577" s="34" t="s">
        <v>1284</v>
      </c>
      <c r="B577" s="35" t="s">
        <v>1285</v>
      </c>
      <c r="C577" s="35" t="s">
        <v>225</v>
      </c>
      <c r="D577" s="34" t="s">
        <v>155</v>
      </c>
      <c r="E577" s="34">
        <v>2</v>
      </c>
      <c r="F577" s="34">
        <v>3</v>
      </c>
      <c r="G577" s="34"/>
      <c r="H577" s="34"/>
    </row>
    <row r="578" spans="1:8" ht="15" customHeight="1" x14ac:dyDescent="0.3">
      <c r="A578" s="24" t="s">
        <v>1286</v>
      </c>
      <c r="B578" s="23" t="s">
        <v>1287</v>
      </c>
      <c r="C578" s="23" t="s">
        <v>158</v>
      </c>
      <c r="D578" s="24" t="s">
        <v>155</v>
      </c>
      <c r="E578" s="24">
        <v>0</v>
      </c>
      <c r="F578" s="24">
        <v>1</v>
      </c>
      <c r="G578" s="24"/>
      <c r="H578" s="24"/>
    </row>
    <row r="579" spans="1:8" ht="15" customHeight="1" x14ac:dyDescent="0.3">
      <c r="A579" s="34" t="s">
        <v>1288</v>
      </c>
      <c r="B579" s="35" t="s">
        <v>1289</v>
      </c>
      <c r="C579" s="35" t="s">
        <v>171</v>
      </c>
      <c r="D579" s="34" t="s">
        <v>155</v>
      </c>
      <c r="E579" s="34">
        <v>0</v>
      </c>
      <c r="F579" s="34">
        <v>1</v>
      </c>
      <c r="G579" s="34"/>
      <c r="H579" s="34"/>
    </row>
    <row r="580" spans="1:8" ht="15" customHeight="1" x14ac:dyDescent="0.3">
      <c r="A580" s="24" t="s">
        <v>1290</v>
      </c>
      <c r="B580" s="23" t="s">
        <v>1291</v>
      </c>
      <c r="C580" s="23" t="s">
        <v>198</v>
      </c>
      <c r="D580" s="24" t="s">
        <v>155</v>
      </c>
      <c r="E580" s="24">
        <v>0</v>
      </c>
      <c r="F580" s="24">
        <v>5</v>
      </c>
      <c r="G580" s="24"/>
      <c r="H580" s="24"/>
    </row>
    <row r="581" spans="1:8" ht="15" customHeight="1" x14ac:dyDescent="0.3">
      <c r="A581" s="34" t="s">
        <v>1292</v>
      </c>
      <c r="B581" s="35" t="s">
        <v>1293</v>
      </c>
      <c r="C581" s="35" t="s">
        <v>309</v>
      </c>
      <c r="D581" s="34" t="s">
        <v>155</v>
      </c>
      <c r="E581" s="34">
        <v>0</v>
      </c>
      <c r="F581" s="34">
        <v>2</v>
      </c>
      <c r="G581" s="34"/>
      <c r="H581" s="34"/>
    </row>
    <row r="582" spans="1:8" ht="15" customHeight="1" x14ac:dyDescent="0.3">
      <c r="A582" s="24" t="s">
        <v>1294</v>
      </c>
      <c r="B582" s="23" t="s">
        <v>1295</v>
      </c>
      <c r="C582" s="23" t="s">
        <v>188</v>
      </c>
      <c r="D582" s="24" t="s">
        <v>155</v>
      </c>
      <c r="E582" s="24">
        <v>0</v>
      </c>
      <c r="F582" s="24">
        <v>3</v>
      </c>
      <c r="G582" s="24"/>
      <c r="H582" s="24"/>
    </row>
    <row r="583" spans="1:8" ht="15" customHeight="1" x14ac:dyDescent="0.3">
      <c r="A583" s="34" t="s">
        <v>1296</v>
      </c>
      <c r="B583" s="35" t="s">
        <v>1297</v>
      </c>
      <c r="C583" s="35" t="s">
        <v>198</v>
      </c>
      <c r="D583" s="34" t="s">
        <v>155</v>
      </c>
      <c r="E583" s="34">
        <v>0</v>
      </c>
      <c r="F583" s="34">
        <v>1</v>
      </c>
      <c r="G583" s="34"/>
      <c r="H583" s="34"/>
    </row>
    <row r="584" spans="1:8" ht="15" customHeight="1" x14ac:dyDescent="0.3">
      <c r="A584" s="24" t="s">
        <v>1298</v>
      </c>
      <c r="B584" s="23" t="s">
        <v>1299</v>
      </c>
      <c r="C584" s="23" t="s">
        <v>213</v>
      </c>
      <c r="D584" s="24" t="s">
        <v>155</v>
      </c>
      <c r="E584" s="24">
        <v>5</v>
      </c>
      <c r="F584" s="24">
        <v>10</v>
      </c>
      <c r="G584" s="24"/>
      <c r="H584" s="24"/>
    </row>
    <row r="585" spans="1:8" ht="15" customHeight="1" x14ac:dyDescent="0.3">
      <c r="A585" s="34" t="s">
        <v>1300</v>
      </c>
      <c r="B585" s="35" t="s">
        <v>1301</v>
      </c>
      <c r="C585" s="35" t="s">
        <v>213</v>
      </c>
      <c r="D585" s="34" t="s">
        <v>155</v>
      </c>
      <c r="E585" s="34"/>
      <c r="F585" s="34"/>
      <c r="G585" s="34"/>
      <c r="H585" s="34"/>
    </row>
    <row r="586" spans="1:8" ht="15" customHeight="1" x14ac:dyDescent="0.3">
      <c r="A586" s="24" t="s">
        <v>1302</v>
      </c>
      <c r="B586" s="23" t="s">
        <v>1303</v>
      </c>
      <c r="C586" s="23" t="s">
        <v>154</v>
      </c>
      <c r="D586" s="24" t="s">
        <v>155</v>
      </c>
      <c r="E586" s="24">
        <v>3</v>
      </c>
      <c r="F586" s="24">
        <v>6</v>
      </c>
      <c r="G586" s="24"/>
      <c r="H586" s="24"/>
    </row>
    <row r="587" spans="1:8" ht="15" customHeight="1" x14ac:dyDescent="0.3">
      <c r="A587" s="34" t="s">
        <v>1304</v>
      </c>
      <c r="B587" s="35" t="s">
        <v>1305</v>
      </c>
      <c r="C587" s="35" t="s">
        <v>185</v>
      </c>
      <c r="D587" s="34" t="s">
        <v>155</v>
      </c>
      <c r="E587" s="34">
        <v>2</v>
      </c>
      <c r="F587" s="34">
        <v>3</v>
      </c>
      <c r="G587" s="34"/>
      <c r="H587" s="34"/>
    </row>
    <row r="588" spans="1:8" ht="15" customHeight="1" x14ac:dyDescent="0.3">
      <c r="A588" s="24" t="s">
        <v>1306</v>
      </c>
      <c r="B588" s="23" t="s">
        <v>1307</v>
      </c>
      <c r="C588" s="23" t="s">
        <v>198</v>
      </c>
      <c r="D588" s="24" t="s">
        <v>155</v>
      </c>
      <c r="E588" s="24">
        <v>0</v>
      </c>
      <c r="F588" s="24">
        <v>5</v>
      </c>
      <c r="G588" s="24"/>
      <c r="H588" s="24"/>
    </row>
    <row r="589" spans="1:8" ht="15" customHeight="1" x14ac:dyDescent="0.3">
      <c r="A589" s="34" t="s">
        <v>1308</v>
      </c>
      <c r="B589" s="35" t="s">
        <v>1309</v>
      </c>
      <c r="C589" s="35" t="s">
        <v>164</v>
      </c>
      <c r="D589" s="34" t="s">
        <v>155</v>
      </c>
      <c r="E589" s="34">
        <v>0</v>
      </c>
      <c r="F589" s="34">
        <v>2</v>
      </c>
      <c r="G589" s="34"/>
      <c r="H589" s="34"/>
    </row>
    <row r="590" spans="1:8" ht="15" customHeight="1" x14ac:dyDescent="0.3">
      <c r="A590" s="24" t="s">
        <v>1310</v>
      </c>
      <c r="B590" s="23" t="s">
        <v>1311</v>
      </c>
      <c r="C590" s="23" t="s">
        <v>213</v>
      </c>
      <c r="D590" s="24" t="s">
        <v>155</v>
      </c>
      <c r="E590" s="24">
        <v>0</v>
      </c>
      <c r="F590" s="24">
        <v>1</v>
      </c>
      <c r="G590" s="24"/>
      <c r="H590" s="24"/>
    </row>
    <row r="591" spans="1:8" ht="15" customHeight="1" x14ac:dyDescent="0.3">
      <c r="A591" s="34" t="s">
        <v>1312</v>
      </c>
      <c r="B591" s="35" t="s">
        <v>1313</v>
      </c>
      <c r="C591" s="35" t="s">
        <v>185</v>
      </c>
      <c r="D591" s="34" t="s">
        <v>155</v>
      </c>
      <c r="E591" s="34">
        <v>0</v>
      </c>
      <c r="F591" s="34">
        <v>2</v>
      </c>
      <c r="G591" s="34"/>
      <c r="H591" s="34"/>
    </row>
    <row r="592" spans="1:8" ht="15" customHeight="1" x14ac:dyDescent="0.3">
      <c r="A592" s="24" t="s">
        <v>1314</v>
      </c>
      <c r="B592" s="23" t="s">
        <v>1315</v>
      </c>
      <c r="C592" s="23" t="s">
        <v>158</v>
      </c>
      <c r="D592" s="24" t="s">
        <v>155</v>
      </c>
      <c r="E592" s="24">
        <v>0</v>
      </c>
      <c r="F592" s="24">
        <v>1</v>
      </c>
      <c r="G592" s="24"/>
      <c r="H592" s="24"/>
    </row>
    <row r="593" spans="1:8" ht="15" customHeight="1" x14ac:dyDescent="0.3">
      <c r="A593" s="34" t="s">
        <v>1316</v>
      </c>
      <c r="B593" s="35" t="s">
        <v>1317</v>
      </c>
      <c r="C593" s="35" t="s">
        <v>158</v>
      </c>
      <c r="D593" s="34" t="s">
        <v>155</v>
      </c>
      <c r="E593" s="34">
        <v>0</v>
      </c>
      <c r="F593" s="34">
        <v>2</v>
      </c>
      <c r="G593" s="34"/>
      <c r="H593" s="34"/>
    </row>
    <row r="594" spans="1:8" ht="15" customHeight="1" x14ac:dyDescent="0.3">
      <c r="A594" s="24" t="s">
        <v>1318</v>
      </c>
      <c r="B594" s="23" t="s">
        <v>1319</v>
      </c>
      <c r="C594" s="23" t="s">
        <v>164</v>
      </c>
      <c r="D594" s="24" t="s">
        <v>155</v>
      </c>
      <c r="E594" s="24">
        <v>0</v>
      </c>
      <c r="F594" s="24">
        <v>4</v>
      </c>
      <c r="G594" s="24"/>
      <c r="H594" s="24"/>
    </row>
    <row r="595" spans="1:8" ht="15" customHeight="1" x14ac:dyDescent="0.3">
      <c r="A595" s="34" t="s">
        <v>1320</v>
      </c>
      <c r="B595" s="35" t="s">
        <v>1321</v>
      </c>
      <c r="C595" s="35" t="s">
        <v>158</v>
      </c>
      <c r="D595" s="34" t="s">
        <v>155</v>
      </c>
      <c r="E595" s="34">
        <v>0</v>
      </c>
      <c r="F595" s="34">
        <v>1</v>
      </c>
      <c r="G595" s="34"/>
      <c r="H595" s="34"/>
    </row>
    <row r="596" spans="1:8" ht="15" customHeight="1" x14ac:dyDescent="0.3">
      <c r="A596" s="24" t="s">
        <v>1322</v>
      </c>
      <c r="B596" s="23" t="s">
        <v>1323</v>
      </c>
      <c r="C596" s="23" t="s">
        <v>164</v>
      </c>
      <c r="D596" s="24" t="s">
        <v>155</v>
      </c>
      <c r="E596" s="24">
        <v>0</v>
      </c>
      <c r="F596" s="24">
        <v>4</v>
      </c>
      <c r="G596" s="24"/>
      <c r="H596" s="24"/>
    </row>
    <row r="597" spans="1:8" ht="15" customHeight="1" x14ac:dyDescent="0.3">
      <c r="A597" s="34" t="s">
        <v>1324</v>
      </c>
      <c r="B597" s="35" t="s">
        <v>1325</v>
      </c>
      <c r="C597" s="35" t="s">
        <v>198</v>
      </c>
      <c r="D597" s="34" t="s">
        <v>155</v>
      </c>
      <c r="E597" s="34">
        <v>0</v>
      </c>
      <c r="F597" s="34">
        <v>1</v>
      </c>
      <c r="G597" s="34"/>
      <c r="H597" s="34"/>
    </row>
    <row r="598" spans="1:8" ht="15" customHeight="1" x14ac:dyDescent="0.3">
      <c r="A598" s="24" t="s">
        <v>1326</v>
      </c>
      <c r="B598" s="23" t="s">
        <v>1327</v>
      </c>
      <c r="C598" s="23" t="s">
        <v>213</v>
      </c>
      <c r="D598" s="24" t="s">
        <v>155</v>
      </c>
      <c r="E598" s="24">
        <v>0</v>
      </c>
      <c r="F598" s="24">
        <v>7</v>
      </c>
      <c r="G598" s="24"/>
      <c r="H598" s="24"/>
    </row>
    <row r="599" spans="1:8" ht="15" customHeight="1" x14ac:dyDescent="0.3">
      <c r="A599" s="34" t="s">
        <v>1328</v>
      </c>
      <c r="B599" s="35" t="s">
        <v>1329</v>
      </c>
      <c r="C599" s="35" t="s">
        <v>185</v>
      </c>
      <c r="D599" s="34" t="s">
        <v>155</v>
      </c>
      <c r="E599" s="34">
        <v>0</v>
      </c>
      <c r="F599" s="34">
        <v>3</v>
      </c>
      <c r="G599" s="34"/>
      <c r="H599" s="34"/>
    </row>
    <row r="600" spans="1:8" ht="15" customHeight="1" x14ac:dyDescent="0.3">
      <c r="A600" s="24" t="s">
        <v>1330</v>
      </c>
      <c r="B600" s="23" t="s">
        <v>1331</v>
      </c>
      <c r="C600" s="23" t="s">
        <v>416</v>
      </c>
      <c r="D600" s="24" t="s">
        <v>155</v>
      </c>
      <c r="E600" s="24">
        <v>0</v>
      </c>
      <c r="F600" s="24">
        <v>2</v>
      </c>
      <c r="G600" s="24"/>
      <c r="H600" s="24"/>
    </row>
    <row r="601" spans="1:8" ht="15" customHeight="1" x14ac:dyDescent="0.3">
      <c r="A601" s="34" t="s">
        <v>1332</v>
      </c>
      <c r="B601" s="35" t="s">
        <v>1333</v>
      </c>
      <c r="C601" s="35" t="s">
        <v>225</v>
      </c>
      <c r="D601" s="34" t="s">
        <v>155</v>
      </c>
      <c r="E601" s="34">
        <v>0</v>
      </c>
      <c r="F601" s="34">
        <v>2</v>
      </c>
      <c r="G601" s="34"/>
      <c r="H601" s="34"/>
    </row>
    <row r="602" spans="1:8" ht="15" customHeight="1" x14ac:dyDescent="0.3">
      <c r="A602" s="24" t="s">
        <v>1334</v>
      </c>
      <c r="B602" s="23" t="s">
        <v>1335</v>
      </c>
      <c r="C602" s="23" t="s">
        <v>309</v>
      </c>
      <c r="D602" s="24" t="s">
        <v>155</v>
      </c>
      <c r="E602" s="24">
        <v>7</v>
      </c>
      <c r="F602" s="24">
        <v>4</v>
      </c>
      <c r="G602" s="24"/>
      <c r="H602" s="24"/>
    </row>
    <row r="603" spans="1:8" ht="15" customHeight="1" x14ac:dyDescent="0.3">
      <c r="A603" s="34" t="s">
        <v>1336</v>
      </c>
      <c r="B603" s="35" t="s">
        <v>1337</v>
      </c>
      <c r="C603" s="35" t="s">
        <v>185</v>
      </c>
      <c r="D603" s="34" t="s">
        <v>155</v>
      </c>
      <c r="E603" s="34">
        <v>0</v>
      </c>
      <c r="F603" s="34">
        <v>1</v>
      </c>
      <c r="G603" s="34"/>
      <c r="H603" s="34"/>
    </row>
    <row r="604" spans="1:8" ht="15" customHeight="1" x14ac:dyDescent="0.3">
      <c r="A604" s="24" t="s">
        <v>1338</v>
      </c>
      <c r="B604" s="23" t="s">
        <v>1339</v>
      </c>
      <c r="C604" s="23" t="s">
        <v>213</v>
      </c>
      <c r="D604" s="24" t="s">
        <v>155</v>
      </c>
      <c r="E604" s="24">
        <v>0</v>
      </c>
      <c r="F604" s="24">
        <v>6</v>
      </c>
      <c r="G604" s="24"/>
      <c r="H604" s="24"/>
    </row>
    <row r="605" spans="1:8" ht="15" customHeight="1" x14ac:dyDescent="0.3">
      <c r="A605" s="34" t="s">
        <v>1340</v>
      </c>
      <c r="B605" s="35" t="s">
        <v>1341</v>
      </c>
      <c r="C605" s="35" t="s">
        <v>164</v>
      </c>
      <c r="D605" s="34" t="s">
        <v>155</v>
      </c>
      <c r="E605" s="34">
        <v>0</v>
      </c>
      <c r="F605" s="34">
        <v>1</v>
      </c>
      <c r="G605" s="34"/>
      <c r="H605" s="34"/>
    </row>
    <row r="606" spans="1:8" ht="15" customHeight="1" x14ac:dyDescent="0.3">
      <c r="A606" s="24" t="s">
        <v>1342</v>
      </c>
      <c r="B606" s="23" t="s">
        <v>1343</v>
      </c>
      <c r="C606" s="23" t="s">
        <v>164</v>
      </c>
      <c r="D606" s="24" t="s">
        <v>155</v>
      </c>
      <c r="E606" s="24">
        <v>0</v>
      </c>
      <c r="F606" s="24">
        <v>2</v>
      </c>
      <c r="G606" s="24"/>
      <c r="H606" s="24"/>
    </row>
    <row r="607" spans="1:8" ht="15" customHeight="1" x14ac:dyDescent="0.3">
      <c r="A607" s="34" t="s">
        <v>1344</v>
      </c>
      <c r="B607" s="35" t="s">
        <v>1345</v>
      </c>
      <c r="C607" s="35" t="s">
        <v>309</v>
      </c>
      <c r="D607" s="34" t="s">
        <v>155</v>
      </c>
      <c r="E607" s="34">
        <v>0</v>
      </c>
      <c r="F607" s="34">
        <v>1</v>
      </c>
      <c r="G607" s="34"/>
      <c r="H607" s="34"/>
    </row>
    <row r="608" spans="1:8" ht="15" customHeight="1" x14ac:dyDescent="0.3">
      <c r="A608" s="24" t="s">
        <v>1346</v>
      </c>
      <c r="B608" s="23" t="s">
        <v>1347</v>
      </c>
      <c r="C608" s="23" t="s">
        <v>589</v>
      </c>
      <c r="D608" s="24" t="s">
        <v>155</v>
      </c>
      <c r="E608" s="24">
        <v>0</v>
      </c>
      <c r="F608" s="24">
        <v>1</v>
      </c>
      <c r="G608" s="24"/>
      <c r="H608" s="24"/>
    </row>
    <row r="609" spans="1:8" ht="15" customHeight="1" x14ac:dyDescent="0.3">
      <c r="A609" s="34" t="s">
        <v>1348</v>
      </c>
      <c r="B609" s="35" t="s">
        <v>1349</v>
      </c>
      <c r="C609" s="35" t="s">
        <v>158</v>
      </c>
      <c r="D609" s="34" t="s">
        <v>155</v>
      </c>
      <c r="E609" s="34">
        <v>0</v>
      </c>
      <c r="F609" s="34">
        <v>1</v>
      </c>
      <c r="G609" s="34"/>
      <c r="H609" s="34"/>
    </row>
    <row r="610" spans="1:8" ht="15" customHeight="1" x14ac:dyDescent="0.3">
      <c r="A610" s="24" t="s">
        <v>1350</v>
      </c>
      <c r="B610" s="23" t="s">
        <v>1351</v>
      </c>
      <c r="C610" s="23" t="s">
        <v>213</v>
      </c>
      <c r="D610" s="24" t="s">
        <v>155</v>
      </c>
      <c r="E610" s="24">
        <v>0</v>
      </c>
      <c r="F610" s="24">
        <v>3</v>
      </c>
      <c r="G610" s="24"/>
      <c r="H610" s="24"/>
    </row>
    <row r="611" spans="1:8" ht="15" customHeight="1" x14ac:dyDescent="0.3">
      <c r="A611" s="34" t="s">
        <v>1352</v>
      </c>
      <c r="B611" s="35" t="s">
        <v>1353</v>
      </c>
      <c r="C611" s="35" t="s">
        <v>171</v>
      </c>
      <c r="D611" s="34" t="s">
        <v>155</v>
      </c>
      <c r="E611" s="34">
        <v>0</v>
      </c>
      <c r="F611" s="34">
        <v>5</v>
      </c>
      <c r="G611" s="34"/>
      <c r="H611" s="34"/>
    </row>
    <row r="612" spans="1:8" ht="15" customHeight="1" x14ac:dyDescent="0.3">
      <c r="A612" s="24" t="s">
        <v>1354</v>
      </c>
      <c r="B612" s="23" t="s">
        <v>1355</v>
      </c>
      <c r="C612" s="23" t="s">
        <v>158</v>
      </c>
      <c r="D612" s="24" t="s">
        <v>155</v>
      </c>
      <c r="E612" s="24">
        <v>0</v>
      </c>
      <c r="F612" s="24">
        <v>1</v>
      </c>
      <c r="G612" s="24"/>
      <c r="H612" s="24"/>
    </row>
    <row r="613" spans="1:8" ht="15" customHeight="1" x14ac:dyDescent="0.3">
      <c r="A613" s="34" t="s">
        <v>1356</v>
      </c>
      <c r="B613" s="35" t="s">
        <v>1357</v>
      </c>
      <c r="C613" s="35" t="s">
        <v>216</v>
      </c>
      <c r="D613" s="34" t="s">
        <v>155</v>
      </c>
      <c r="E613" s="34">
        <v>0</v>
      </c>
      <c r="F613" s="34">
        <v>4</v>
      </c>
      <c r="G613" s="34"/>
      <c r="H613" s="34"/>
    </row>
    <row r="614" spans="1:8" ht="15" customHeight="1" x14ac:dyDescent="0.3">
      <c r="A614" s="24" t="s">
        <v>1358</v>
      </c>
      <c r="B614" s="23" t="s">
        <v>1359</v>
      </c>
      <c r="C614" s="23" t="s">
        <v>216</v>
      </c>
      <c r="D614" s="24" t="s">
        <v>155</v>
      </c>
      <c r="E614" s="24">
        <v>0</v>
      </c>
      <c r="F614" s="24">
        <v>2</v>
      </c>
      <c r="G614" s="24"/>
      <c r="H614" s="24"/>
    </row>
    <row r="615" spans="1:8" ht="15" customHeight="1" x14ac:dyDescent="0.3">
      <c r="A615" s="34" t="s">
        <v>1360</v>
      </c>
      <c r="B615" s="35" t="s">
        <v>1361</v>
      </c>
      <c r="C615" s="35" t="s">
        <v>225</v>
      </c>
      <c r="D615" s="34" t="s">
        <v>155</v>
      </c>
      <c r="E615" s="34">
        <v>0</v>
      </c>
      <c r="F615" s="34">
        <v>2</v>
      </c>
      <c r="G615" s="34"/>
      <c r="H615" s="34"/>
    </row>
    <row r="616" spans="1:8" ht="15" customHeight="1" x14ac:dyDescent="0.3">
      <c r="A616" s="24" t="s">
        <v>1362</v>
      </c>
      <c r="B616" s="23" t="s">
        <v>1363</v>
      </c>
      <c r="C616" s="23" t="s">
        <v>164</v>
      </c>
      <c r="D616" s="24" t="s">
        <v>155</v>
      </c>
      <c r="E616" s="24">
        <v>0</v>
      </c>
      <c r="F616" s="24">
        <v>1</v>
      </c>
      <c r="G616" s="24"/>
      <c r="H616" s="24"/>
    </row>
    <row r="617" spans="1:8" ht="15" customHeight="1" x14ac:dyDescent="0.3">
      <c r="A617" s="34" t="s">
        <v>1364</v>
      </c>
      <c r="B617" s="35" t="s">
        <v>1365</v>
      </c>
      <c r="C617" s="35" t="s">
        <v>164</v>
      </c>
      <c r="D617" s="34" t="s">
        <v>155</v>
      </c>
      <c r="E617" s="34">
        <v>0</v>
      </c>
      <c r="F617" s="34">
        <v>1</v>
      </c>
      <c r="G617" s="34"/>
      <c r="H617" s="34"/>
    </row>
    <row r="618" spans="1:8" ht="15" customHeight="1" x14ac:dyDescent="0.3">
      <c r="A618" s="24" t="s">
        <v>1366</v>
      </c>
      <c r="B618" s="23" t="s">
        <v>1367</v>
      </c>
      <c r="C618" s="23" t="s">
        <v>213</v>
      </c>
      <c r="D618" s="24" t="s">
        <v>155</v>
      </c>
      <c r="E618" s="24">
        <v>0</v>
      </c>
      <c r="F618" s="24">
        <v>1</v>
      </c>
      <c r="G618" s="24"/>
      <c r="H618" s="24"/>
    </row>
    <row r="619" spans="1:8" ht="15" customHeight="1" x14ac:dyDescent="0.3">
      <c r="A619" s="34" t="s">
        <v>1368</v>
      </c>
      <c r="B619" s="35" t="s">
        <v>1369</v>
      </c>
      <c r="C619" s="35" t="s">
        <v>833</v>
      </c>
      <c r="D619" s="34" t="s">
        <v>155</v>
      </c>
      <c r="E619" s="34">
        <v>0</v>
      </c>
      <c r="F619" s="34">
        <v>4</v>
      </c>
      <c r="G619" s="34"/>
      <c r="H619" s="34"/>
    </row>
    <row r="620" spans="1:8" ht="15" customHeight="1" x14ac:dyDescent="0.3">
      <c r="A620" s="24" t="s">
        <v>1370</v>
      </c>
      <c r="B620" s="23" t="s">
        <v>1371</v>
      </c>
      <c r="C620" s="23" t="s">
        <v>833</v>
      </c>
      <c r="D620" s="24" t="s">
        <v>155</v>
      </c>
      <c r="E620" s="24">
        <v>0</v>
      </c>
      <c r="F620" s="24">
        <v>1</v>
      </c>
      <c r="G620" s="24"/>
      <c r="H620" s="24"/>
    </row>
    <row r="621" spans="1:8" ht="15" customHeight="1" x14ac:dyDescent="0.3">
      <c r="A621" s="34" t="s">
        <v>1372</v>
      </c>
      <c r="B621" s="35" t="s">
        <v>1373</v>
      </c>
      <c r="C621" s="35" t="s">
        <v>216</v>
      </c>
      <c r="D621" s="34" t="s">
        <v>155</v>
      </c>
      <c r="E621" s="34">
        <v>0</v>
      </c>
      <c r="F621" s="34">
        <v>2</v>
      </c>
      <c r="G621" s="34"/>
      <c r="H621" s="34"/>
    </row>
    <row r="622" spans="1:8" ht="15" customHeight="1" x14ac:dyDescent="0.3">
      <c r="A622" s="24" t="s">
        <v>1374</v>
      </c>
      <c r="B622" s="23" t="s">
        <v>1375</v>
      </c>
      <c r="C622" s="23" t="s">
        <v>309</v>
      </c>
      <c r="D622" s="24" t="s">
        <v>155</v>
      </c>
      <c r="E622" s="24">
        <v>0</v>
      </c>
      <c r="F622" s="24">
        <v>2</v>
      </c>
      <c r="G622" s="24"/>
      <c r="H622" s="24"/>
    </row>
    <row r="623" spans="1:8" ht="15" customHeight="1" x14ac:dyDescent="0.3">
      <c r="A623" s="34" t="s">
        <v>1376</v>
      </c>
      <c r="B623" s="35" t="s">
        <v>1377</v>
      </c>
      <c r="C623" s="35" t="s">
        <v>225</v>
      </c>
      <c r="D623" s="34" t="s">
        <v>155</v>
      </c>
      <c r="E623" s="34">
        <v>0</v>
      </c>
      <c r="F623" s="34">
        <v>2</v>
      </c>
      <c r="G623" s="34"/>
      <c r="H623" s="34"/>
    </row>
    <row r="624" spans="1:8" ht="15" customHeight="1" x14ac:dyDescent="0.3">
      <c r="A624" s="24" t="s">
        <v>1378</v>
      </c>
      <c r="B624" s="23" t="s">
        <v>1379</v>
      </c>
      <c r="C624" s="23" t="s">
        <v>589</v>
      </c>
      <c r="D624" s="24" t="s">
        <v>155</v>
      </c>
      <c r="E624" s="24">
        <v>0</v>
      </c>
      <c r="F624" s="24">
        <v>3</v>
      </c>
      <c r="G624" s="24"/>
      <c r="H624" s="24"/>
    </row>
    <row r="625" spans="1:8" ht="15" customHeight="1" x14ac:dyDescent="0.3">
      <c r="A625" s="34" t="s">
        <v>1380</v>
      </c>
      <c r="B625" s="35" t="s">
        <v>1381</v>
      </c>
      <c r="C625" s="35" t="s">
        <v>158</v>
      </c>
      <c r="D625" s="34" t="s">
        <v>155</v>
      </c>
      <c r="E625" s="34">
        <v>24</v>
      </c>
      <c r="F625" s="34">
        <v>9</v>
      </c>
      <c r="G625" s="34"/>
      <c r="H625" s="34"/>
    </row>
    <row r="626" spans="1:8" ht="15" customHeight="1" x14ac:dyDescent="0.3">
      <c r="A626" s="24" t="s">
        <v>1382</v>
      </c>
      <c r="B626" s="23" t="s">
        <v>1383</v>
      </c>
      <c r="C626" s="23" t="s">
        <v>213</v>
      </c>
      <c r="D626" s="24" t="s">
        <v>155</v>
      </c>
      <c r="E626" s="24">
        <v>0</v>
      </c>
      <c r="F626" s="24">
        <v>1</v>
      </c>
      <c r="G626" s="24"/>
      <c r="H626" s="24"/>
    </row>
    <row r="627" spans="1:8" ht="15" customHeight="1" x14ac:dyDescent="0.3">
      <c r="A627" s="34" t="s">
        <v>1384</v>
      </c>
      <c r="B627" s="35" t="s">
        <v>1385</v>
      </c>
      <c r="C627" s="35" t="s">
        <v>309</v>
      </c>
      <c r="D627" s="34" t="s">
        <v>155</v>
      </c>
      <c r="E627" s="34">
        <v>0</v>
      </c>
      <c r="F627" s="34">
        <v>3</v>
      </c>
      <c r="G627" s="34"/>
      <c r="H627" s="34"/>
    </row>
    <row r="628" spans="1:8" ht="15" customHeight="1" x14ac:dyDescent="0.3">
      <c r="A628" s="24" t="s">
        <v>1386</v>
      </c>
      <c r="B628" s="23" t="s">
        <v>1387</v>
      </c>
      <c r="C628" s="23" t="s">
        <v>164</v>
      </c>
      <c r="D628" s="24" t="s">
        <v>155</v>
      </c>
      <c r="E628" s="24">
        <v>0</v>
      </c>
      <c r="F628" s="24">
        <v>1</v>
      </c>
      <c r="G628" s="24"/>
      <c r="H628" s="24"/>
    </row>
    <row r="629" spans="1:8" ht="15" customHeight="1" x14ac:dyDescent="0.3">
      <c r="A629" s="34" t="s">
        <v>1388</v>
      </c>
      <c r="B629" s="35" t="s">
        <v>1389</v>
      </c>
      <c r="C629" s="35" t="s">
        <v>154</v>
      </c>
      <c r="D629" s="34" t="s">
        <v>155</v>
      </c>
      <c r="E629" s="34">
        <v>0</v>
      </c>
      <c r="F629" s="34">
        <v>3</v>
      </c>
      <c r="G629" s="34"/>
      <c r="H629" s="34"/>
    </row>
    <row r="630" spans="1:8" ht="15" customHeight="1" x14ac:dyDescent="0.3">
      <c r="A630" s="24" t="s">
        <v>1390</v>
      </c>
      <c r="B630" s="23" t="s">
        <v>1391</v>
      </c>
      <c r="C630" s="23" t="s">
        <v>171</v>
      </c>
      <c r="D630" s="24" t="s">
        <v>155</v>
      </c>
      <c r="E630" s="24">
        <v>0</v>
      </c>
      <c r="F630" s="24">
        <v>2</v>
      </c>
      <c r="G630" s="24"/>
      <c r="H630" s="24"/>
    </row>
    <row r="631" spans="1:8" ht="15" customHeight="1" x14ac:dyDescent="0.3">
      <c r="A631" s="34" t="s">
        <v>1392</v>
      </c>
      <c r="B631" s="35" t="s">
        <v>1393</v>
      </c>
      <c r="C631" s="35" t="s">
        <v>154</v>
      </c>
      <c r="D631" s="34" t="s">
        <v>155</v>
      </c>
      <c r="E631" s="34">
        <v>0</v>
      </c>
      <c r="F631" s="34">
        <v>1</v>
      </c>
      <c r="G631" s="34"/>
      <c r="H631" s="34"/>
    </row>
    <row r="632" spans="1:8" ht="15" customHeight="1" x14ac:dyDescent="0.3">
      <c r="A632" s="24" t="s">
        <v>1394</v>
      </c>
      <c r="B632" s="23" t="s">
        <v>1395</v>
      </c>
      <c r="C632" s="23" t="s">
        <v>225</v>
      </c>
      <c r="D632" s="24" t="s">
        <v>155</v>
      </c>
      <c r="E632" s="24">
        <v>0</v>
      </c>
      <c r="F632" s="24">
        <v>3</v>
      </c>
      <c r="G632" s="24"/>
      <c r="H632" s="24"/>
    </row>
    <row r="633" spans="1:8" ht="15" customHeight="1" x14ac:dyDescent="0.3">
      <c r="A633" s="34" t="s">
        <v>1396</v>
      </c>
      <c r="B633" s="35" t="s">
        <v>1397</v>
      </c>
      <c r="C633" s="35" t="s">
        <v>164</v>
      </c>
      <c r="D633" s="34" t="s">
        <v>155</v>
      </c>
      <c r="E633" s="34">
        <v>0</v>
      </c>
      <c r="F633" s="34">
        <v>3</v>
      </c>
      <c r="G633" s="34"/>
      <c r="H633" s="34"/>
    </row>
    <row r="634" spans="1:8" ht="15" customHeight="1" x14ac:dyDescent="0.3">
      <c r="A634" s="24" t="s">
        <v>1398</v>
      </c>
      <c r="B634" s="23" t="s">
        <v>1399</v>
      </c>
      <c r="C634" s="23" t="s">
        <v>164</v>
      </c>
      <c r="D634" s="24" t="s">
        <v>155</v>
      </c>
      <c r="E634" s="24">
        <v>0</v>
      </c>
      <c r="F634" s="24">
        <v>1</v>
      </c>
      <c r="G634" s="24"/>
      <c r="H634" s="24"/>
    </row>
    <row r="635" spans="1:8" ht="15" customHeight="1" x14ac:dyDescent="0.3">
      <c r="A635" s="34" t="s">
        <v>1400</v>
      </c>
      <c r="B635" s="35" t="s">
        <v>1401</v>
      </c>
      <c r="C635" s="35" t="s">
        <v>309</v>
      </c>
      <c r="D635" s="34" t="s">
        <v>155</v>
      </c>
      <c r="E635" s="34">
        <v>0</v>
      </c>
      <c r="F635" s="34">
        <v>1</v>
      </c>
      <c r="G635" s="34"/>
      <c r="H635" s="34"/>
    </row>
    <row r="636" spans="1:8" ht="15" customHeight="1" x14ac:dyDescent="0.3">
      <c r="A636" s="24" t="s">
        <v>1402</v>
      </c>
      <c r="B636" s="23" t="s">
        <v>1403</v>
      </c>
      <c r="C636" s="23" t="s">
        <v>309</v>
      </c>
      <c r="D636" s="24" t="s">
        <v>155</v>
      </c>
      <c r="E636" s="24">
        <v>0</v>
      </c>
      <c r="F636" s="24">
        <v>1</v>
      </c>
      <c r="G636" s="24"/>
      <c r="H636" s="24"/>
    </row>
    <row r="637" spans="1:8" ht="15" customHeight="1" x14ac:dyDescent="0.3">
      <c r="A637" s="34" t="s">
        <v>1404</v>
      </c>
      <c r="B637" s="35" t="s">
        <v>1405</v>
      </c>
      <c r="C637" s="35" t="s">
        <v>158</v>
      </c>
      <c r="D637" s="34" t="s">
        <v>155</v>
      </c>
      <c r="E637" s="34">
        <v>0</v>
      </c>
      <c r="F637" s="34">
        <v>2</v>
      </c>
      <c r="G637" s="34"/>
      <c r="H637" s="34"/>
    </row>
    <row r="638" spans="1:8" ht="15" customHeight="1" x14ac:dyDescent="0.3">
      <c r="A638" s="24" t="s">
        <v>1406</v>
      </c>
      <c r="B638" s="23" t="s">
        <v>1407</v>
      </c>
      <c r="C638" s="23" t="s">
        <v>635</v>
      </c>
      <c r="D638" s="24" t="s">
        <v>155</v>
      </c>
      <c r="E638" s="24">
        <v>0</v>
      </c>
      <c r="F638" s="24">
        <v>4</v>
      </c>
      <c r="G638" s="24"/>
      <c r="H638" s="24"/>
    </row>
    <row r="639" spans="1:8" ht="15" customHeight="1" x14ac:dyDescent="0.3">
      <c r="A639" s="34" t="s">
        <v>1408</v>
      </c>
      <c r="B639" s="35" t="s">
        <v>1409</v>
      </c>
      <c r="C639" s="35" t="s">
        <v>213</v>
      </c>
      <c r="D639" s="34" t="s">
        <v>155</v>
      </c>
      <c r="E639" s="34">
        <v>0</v>
      </c>
      <c r="F639" s="34">
        <v>1</v>
      </c>
      <c r="G639" s="34"/>
      <c r="H639" s="34"/>
    </row>
    <row r="640" spans="1:8" ht="15" customHeight="1" x14ac:dyDescent="0.3">
      <c r="A640" s="24" t="s">
        <v>1410</v>
      </c>
      <c r="B640" s="23" t="s">
        <v>1411</v>
      </c>
      <c r="C640" s="23" t="s">
        <v>164</v>
      </c>
      <c r="D640" s="24" t="s">
        <v>155</v>
      </c>
      <c r="E640" s="24">
        <v>0</v>
      </c>
      <c r="F640" s="24">
        <v>2</v>
      </c>
      <c r="G640" s="24"/>
      <c r="H640" s="24"/>
    </row>
    <row r="641" spans="1:8" ht="15" customHeight="1" x14ac:dyDescent="0.3">
      <c r="A641" s="34" t="s">
        <v>1412</v>
      </c>
      <c r="B641" s="35" t="s">
        <v>1413</v>
      </c>
      <c r="C641" s="35" t="s">
        <v>154</v>
      </c>
      <c r="D641" s="34" t="s">
        <v>155</v>
      </c>
      <c r="E641" s="34">
        <v>0</v>
      </c>
      <c r="F641" s="34">
        <v>3</v>
      </c>
      <c r="G641" s="34"/>
      <c r="H641" s="34"/>
    </row>
    <row r="642" spans="1:8" ht="15" customHeight="1" x14ac:dyDescent="0.3">
      <c r="A642" s="24" t="s">
        <v>1414</v>
      </c>
      <c r="B642" s="23" t="s">
        <v>1415</v>
      </c>
      <c r="C642" s="23" t="s">
        <v>164</v>
      </c>
      <c r="D642" s="24" t="s">
        <v>155</v>
      </c>
      <c r="E642" s="24">
        <v>0</v>
      </c>
      <c r="F642" s="24">
        <v>1</v>
      </c>
      <c r="G642" s="24"/>
      <c r="H642" s="24"/>
    </row>
    <row r="643" spans="1:8" ht="15" customHeight="1" x14ac:dyDescent="0.3">
      <c r="A643" s="34" t="s">
        <v>1416</v>
      </c>
      <c r="B643" s="35" t="s">
        <v>1417</v>
      </c>
      <c r="C643" s="35" t="s">
        <v>158</v>
      </c>
      <c r="D643" s="34" t="s">
        <v>155</v>
      </c>
      <c r="E643" s="34">
        <v>0</v>
      </c>
      <c r="F643" s="34">
        <v>5</v>
      </c>
      <c r="G643" s="34"/>
      <c r="H643" s="34"/>
    </row>
    <row r="644" spans="1:8" ht="15" customHeight="1" x14ac:dyDescent="0.3">
      <c r="A644" s="24" t="s">
        <v>1418</v>
      </c>
      <c r="B644" s="23" t="s">
        <v>1419</v>
      </c>
      <c r="C644" s="23" t="s">
        <v>216</v>
      </c>
      <c r="D644" s="24" t="s">
        <v>155</v>
      </c>
      <c r="E644" s="24">
        <v>0</v>
      </c>
      <c r="F644" s="24">
        <v>2</v>
      </c>
      <c r="G644" s="24"/>
      <c r="H644" s="24"/>
    </row>
    <row r="645" spans="1:8" ht="15" customHeight="1" x14ac:dyDescent="0.3">
      <c r="A645" s="34" t="s">
        <v>1420</v>
      </c>
      <c r="B645" s="35" t="s">
        <v>1421</v>
      </c>
      <c r="C645" s="35" t="s">
        <v>216</v>
      </c>
      <c r="D645" s="34" t="s">
        <v>155</v>
      </c>
      <c r="E645" s="34">
        <v>0</v>
      </c>
      <c r="F645" s="34">
        <v>1</v>
      </c>
      <c r="G645" s="34"/>
      <c r="H645" s="34"/>
    </row>
    <row r="646" spans="1:8" ht="15" customHeight="1" x14ac:dyDescent="0.3">
      <c r="A646" s="24" t="s">
        <v>1422</v>
      </c>
      <c r="B646" s="23" t="s">
        <v>1423</v>
      </c>
      <c r="C646" s="23" t="s">
        <v>164</v>
      </c>
      <c r="D646" s="24" t="s">
        <v>155</v>
      </c>
      <c r="E646" s="24">
        <v>0</v>
      </c>
      <c r="F646" s="24">
        <v>2</v>
      </c>
      <c r="G646" s="24"/>
      <c r="H646" s="24"/>
    </row>
    <row r="647" spans="1:8" ht="15" customHeight="1" x14ac:dyDescent="0.3">
      <c r="A647" s="34" t="s">
        <v>1424</v>
      </c>
      <c r="B647" s="35" t="s">
        <v>1425</v>
      </c>
      <c r="C647" s="35" t="s">
        <v>216</v>
      </c>
      <c r="D647" s="34" t="s">
        <v>155</v>
      </c>
      <c r="E647" s="34">
        <v>0</v>
      </c>
      <c r="F647" s="34">
        <v>2</v>
      </c>
      <c r="G647" s="34"/>
      <c r="H647" s="34"/>
    </row>
    <row r="648" spans="1:8" ht="15" customHeight="1" x14ac:dyDescent="0.3">
      <c r="A648" s="24" t="s">
        <v>1426</v>
      </c>
      <c r="B648" s="23" t="s">
        <v>1427</v>
      </c>
      <c r="C648" s="23" t="s">
        <v>164</v>
      </c>
      <c r="D648" s="24" t="s">
        <v>155</v>
      </c>
      <c r="E648" s="24">
        <v>0</v>
      </c>
      <c r="F648" s="24">
        <v>1</v>
      </c>
      <c r="G648" s="24"/>
      <c r="H648" s="24"/>
    </row>
    <row r="649" spans="1:8" ht="15" customHeight="1" x14ac:dyDescent="0.3">
      <c r="A649" s="34" t="s">
        <v>1428</v>
      </c>
      <c r="B649" s="35" t="s">
        <v>1429</v>
      </c>
      <c r="C649" s="35" t="s">
        <v>188</v>
      </c>
      <c r="D649" s="34" t="s">
        <v>155</v>
      </c>
      <c r="E649" s="34">
        <v>0</v>
      </c>
      <c r="F649" s="34">
        <v>1</v>
      </c>
      <c r="G649" s="34"/>
      <c r="H649" s="34"/>
    </row>
    <row r="650" spans="1:8" ht="15" customHeight="1" x14ac:dyDescent="0.3">
      <c r="A650" s="24" t="s">
        <v>1430</v>
      </c>
      <c r="B650" s="23" t="s">
        <v>1431</v>
      </c>
      <c r="C650" s="23" t="s">
        <v>164</v>
      </c>
      <c r="D650" s="24" t="s">
        <v>155</v>
      </c>
      <c r="E650" s="24">
        <v>0</v>
      </c>
      <c r="F650" s="24">
        <v>4</v>
      </c>
      <c r="G650" s="24"/>
      <c r="H650" s="24"/>
    </row>
    <row r="651" spans="1:8" ht="15" customHeight="1" x14ac:dyDescent="0.3">
      <c r="A651" s="34" t="s">
        <v>1432</v>
      </c>
      <c r="B651" s="35" t="s">
        <v>1433</v>
      </c>
      <c r="C651" s="35" t="s">
        <v>164</v>
      </c>
      <c r="D651" s="34" t="s">
        <v>155</v>
      </c>
      <c r="E651" s="34">
        <v>0</v>
      </c>
      <c r="F651" s="34">
        <v>1</v>
      </c>
      <c r="G651" s="34"/>
      <c r="H651" s="34"/>
    </row>
    <row r="652" spans="1:8" ht="15" customHeight="1" x14ac:dyDescent="0.3">
      <c r="A652" s="24" t="s">
        <v>1434</v>
      </c>
      <c r="B652" s="23" t="s">
        <v>1435</v>
      </c>
      <c r="C652" s="23" t="s">
        <v>158</v>
      </c>
      <c r="D652" s="24" t="s">
        <v>155</v>
      </c>
      <c r="E652" s="24">
        <v>0</v>
      </c>
      <c r="F652" s="24">
        <v>1</v>
      </c>
      <c r="G652" s="24"/>
      <c r="H652" s="24"/>
    </row>
    <row r="653" spans="1:8" ht="15" customHeight="1" x14ac:dyDescent="0.3">
      <c r="A653" s="34" t="s">
        <v>1436</v>
      </c>
      <c r="B653" s="35" t="s">
        <v>1437</v>
      </c>
      <c r="C653" s="35" t="s">
        <v>158</v>
      </c>
      <c r="D653" s="34" t="s">
        <v>155</v>
      </c>
      <c r="E653" s="34">
        <v>0</v>
      </c>
      <c r="F653" s="34">
        <v>1</v>
      </c>
      <c r="G653" s="34"/>
      <c r="H653" s="34"/>
    </row>
    <row r="654" spans="1:8" ht="15" customHeight="1" x14ac:dyDescent="0.3">
      <c r="A654" s="24" t="s">
        <v>1438</v>
      </c>
      <c r="B654" s="23" t="s">
        <v>1439</v>
      </c>
      <c r="C654" s="23" t="s">
        <v>164</v>
      </c>
      <c r="D654" s="24" t="s">
        <v>155</v>
      </c>
      <c r="E654" s="24">
        <v>0</v>
      </c>
      <c r="F654" s="24">
        <v>2</v>
      </c>
      <c r="G654" s="24"/>
      <c r="H654" s="24"/>
    </row>
    <row r="655" spans="1:8" ht="15" customHeight="1" x14ac:dyDescent="0.3">
      <c r="A655" s="34" t="s">
        <v>1440</v>
      </c>
      <c r="B655" s="35" t="s">
        <v>1441</v>
      </c>
      <c r="C655" s="35" t="s">
        <v>216</v>
      </c>
      <c r="D655" s="34" t="s">
        <v>155</v>
      </c>
      <c r="E655" s="34">
        <v>0</v>
      </c>
      <c r="F655" s="34">
        <v>4</v>
      </c>
      <c r="G655" s="34"/>
      <c r="H655" s="34"/>
    </row>
    <row r="656" spans="1:8" ht="15" customHeight="1" x14ac:dyDescent="0.3">
      <c r="A656" s="24" t="s">
        <v>1442</v>
      </c>
      <c r="B656" s="23" t="s">
        <v>1443</v>
      </c>
      <c r="C656" s="23" t="s">
        <v>225</v>
      </c>
      <c r="D656" s="24" t="s">
        <v>155</v>
      </c>
      <c r="E656" s="24">
        <v>0</v>
      </c>
      <c r="F656" s="24">
        <v>1</v>
      </c>
      <c r="G656" s="24"/>
      <c r="H656" s="24"/>
    </row>
    <row r="657" spans="1:8" ht="15" customHeight="1" x14ac:dyDescent="0.3">
      <c r="A657" s="34" t="s">
        <v>1444</v>
      </c>
      <c r="B657" s="35" t="s">
        <v>1445</v>
      </c>
      <c r="C657" s="35" t="s">
        <v>416</v>
      </c>
      <c r="D657" s="34" t="s">
        <v>155</v>
      </c>
      <c r="E657" s="34">
        <v>0</v>
      </c>
      <c r="F657" s="34">
        <v>3</v>
      </c>
      <c r="G657" s="34"/>
      <c r="H657" s="34"/>
    </row>
    <row r="658" spans="1:8" ht="15" customHeight="1" x14ac:dyDescent="0.3">
      <c r="A658" s="24" t="s">
        <v>1446</v>
      </c>
      <c r="B658" s="23" t="s">
        <v>1447</v>
      </c>
      <c r="C658" s="23" t="s">
        <v>225</v>
      </c>
      <c r="D658" s="24" t="s">
        <v>155</v>
      </c>
      <c r="E658" s="24">
        <v>1</v>
      </c>
      <c r="F658" s="24">
        <v>2</v>
      </c>
      <c r="G658" s="24"/>
      <c r="H658" s="24"/>
    </row>
    <row r="659" spans="1:8" ht="15" customHeight="1" x14ac:dyDescent="0.3">
      <c r="A659" s="34" t="s">
        <v>1448</v>
      </c>
      <c r="B659" s="35" t="s">
        <v>1449</v>
      </c>
      <c r="C659" s="35" t="s">
        <v>589</v>
      </c>
      <c r="D659" s="34" t="s">
        <v>155</v>
      </c>
      <c r="E659" s="34">
        <v>0</v>
      </c>
      <c r="F659" s="34">
        <v>4</v>
      </c>
      <c r="G659" s="34"/>
      <c r="H659" s="34"/>
    </row>
    <row r="660" spans="1:8" ht="15" customHeight="1" x14ac:dyDescent="0.3">
      <c r="A660" s="24" t="s">
        <v>1450</v>
      </c>
      <c r="B660" s="23" t="s">
        <v>1451</v>
      </c>
      <c r="C660" s="23" t="s">
        <v>833</v>
      </c>
      <c r="D660" s="24" t="s">
        <v>155</v>
      </c>
      <c r="E660" s="24">
        <v>0</v>
      </c>
      <c r="F660" s="24">
        <v>1</v>
      </c>
      <c r="G660" s="24"/>
      <c r="H660" s="24"/>
    </row>
    <row r="661" spans="1:8" ht="15" customHeight="1" x14ac:dyDescent="0.3">
      <c r="A661" s="34" t="s">
        <v>1452</v>
      </c>
      <c r="B661" s="35" t="s">
        <v>1453</v>
      </c>
      <c r="C661" s="35" t="s">
        <v>158</v>
      </c>
      <c r="D661" s="34" t="s">
        <v>155</v>
      </c>
      <c r="E661" s="34">
        <v>3</v>
      </c>
      <c r="F661" s="34">
        <v>4</v>
      </c>
      <c r="G661" s="34"/>
      <c r="H661" s="34"/>
    </row>
    <row r="662" spans="1:8" ht="15" customHeight="1" x14ac:dyDescent="0.3">
      <c r="A662" s="24" t="s">
        <v>1454</v>
      </c>
      <c r="B662" s="23" t="s">
        <v>1455</v>
      </c>
      <c r="C662" s="23" t="s">
        <v>589</v>
      </c>
      <c r="D662" s="24" t="s">
        <v>155</v>
      </c>
      <c r="E662" s="24">
        <v>0</v>
      </c>
      <c r="F662" s="24">
        <v>1</v>
      </c>
      <c r="G662" s="24"/>
      <c r="H662" s="24"/>
    </row>
    <row r="663" spans="1:8" ht="15" customHeight="1" x14ac:dyDescent="0.3">
      <c r="A663" s="34" t="s">
        <v>1456</v>
      </c>
      <c r="B663" s="35" t="s">
        <v>1457</v>
      </c>
      <c r="C663" s="35" t="s">
        <v>225</v>
      </c>
      <c r="D663" s="34" t="s">
        <v>155</v>
      </c>
      <c r="E663" s="34">
        <v>0</v>
      </c>
      <c r="F663" s="34">
        <v>1</v>
      </c>
      <c r="G663" s="34"/>
      <c r="H663" s="34"/>
    </row>
    <row r="664" spans="1:8" ht="15" customHeight="1" x14ac:dyDescent="0.3">
      <c r="A664" s="24" t="s">
        <v>1458</v>
      </c>
      <c r="B664" s="23" t="s">
        <v>1459</v>
      </c>
      <c r="C664" s="23" t="s">
        <v>309</v>
      </c>
      <c r="D664" s="24" t="s">
        <v>155</v>
      </c>
      <c r="E664" s="24">
        <v>0</v>
      </c>
      <c r="F664" s="24">
        <v>1</v>
      </c>
      <c r="G664" s="24"/>
      <c r="H664" s="24"/>
    </row>
    <row r="665" spans="1:8" ht="15" customHeight="1" x14ac:dyDescent="0.3">
      <c r="A665" s="34" t="s">
        <v>1460</v>
      </c>
      <c r="B665" s="35" t="s">
        <v>1461</v>
      </c>
      <c r="C665" s="35" t="s">
        <v>589</v>
      </c>
      <c r="D665" s="34" t="s">
        <v>155</v>
      </c>
      <c r="E665" s="34">
        <v>0</v>
      </c>
      <c r="F665" s="34">
        <v>2</v>
      </c>
      <c r="G665" s="34"/>
      <c r="H665" s="34"/>
    </row>
    <row r="666" spans="1:8" ht="15" customHeight="1" x14ac:dyDescent="0.3">
      <c r="A666" s="24" t="s">
        <v>1462</v>
      </c>
      <c r="B666" s="23" t="s">
        <v>1463</v>
      </c>
      <c r="C666" s="23" t="s">
        <v>158</v>
      </c>
      <c r="D666" s="24" t="s">
        <v>155</v>
      </c>
      <c r="E666" s="24">
        <v>16</v>
      </c>
      <c r="F666" s="24">
        <v>4</v>
      </c>
      <c r="G666" s="24"/>
      <c r="H666" s="24"/>
    </row>
    <row r="667" spans="1:8" ht="15" customHeight="1" x14ac:dyDescent="0.3">
      <c r="A667" s="34" t="s">
        <v>1464</v>
      </c>
      <c r="B667" s="35" t="s">
        <v>1465</v>
      </c>
      <c r="C667" s="35" t="s">
        <v>158</v>
      </c>
      <c r="D667" s="34" t="s">
        <v>155</v>
      </c>
      <c r="E667" s="34">
        <v>3</v>
      </c>
      <c r="F667" s="34">
        <v>4</v>
      </c>
      <c r="G667" s="34"/>
      <c r="H667" s="34"/>
    </row>
    <row r="668" spans="1:8" ht="15" customHeight="1" x14ac:dyDescent="0.3">
      <c r="A668" s="24" t="s">
        <v>1466</v>
      </c>
      <c r="B668" s="23" t="s">
        <v>1467</v>
      </c>
      <c r="C668" s="23" t="s">
        <v>171</v>
      </c>
      <c r="D668" s="24" t="s">
        <v>155</v>
      </c>
      <c r="E668" s="24">
        <v>0</v>
      </c>
      <c r="F668" s="24">
        <v>6</v>
      </c>
      <c r="G668" s="24"/>
      <c r="H668" s="24"/>
    </row>
    <row r="669" spans="1:8" ht="15" customHeight="1" x14ac:dyDescent="0.3">
      <c r="A669" s="34" t="s">
        <v>1468</v>
      </c>
      <c r="B669" s="35" t="s">
        <v>1469</v>
      </c>
      <c r="C669" s="35" t="s">
        <v>309</v>
      </c>
      <c r="D669" s="34" t="s">
        <v>155</v>
      </c>
      <c r="E669" s="34">
        <v>0</v>
      </c>
      <c r="F669" s="34">
        <v>1</v>
      </c>
      <c r="G669" s="34"/>
      <c r="H669" s="34"/>
    </row>
    <row r="670" spans="1:8" ht="15" customHeight="1" x14ac:dyDescent="0.3">
      <c r="A670" s="24" t="s">
        <v>1470</v>
      </c>
      <c r="B670" s="23" t="s">
        <v>1471</v>
      </c>
      <c r="C670" s="23" t="s">
        <v>158</v>
      </c>
      <c r="D670" s="24" t="s">
        <v>155</v>
      </c>
      <c r="E670" s="24">
        <v>0</v>
      </c>
      <c r="F670" s="24">
        <v>4</v>
      </c>
      <c r="G670" s="24"/>
      <c r="H670" s="24"/>
    </row>
    <row r="671" spans="1:8" ht="15" customHeight="1" x14ac:dyDescent="0.3">
      <c r="A671" s="34" t="s">
        <v>1472</v>
      </c>
      <c r="B671" s="35" t="s">
        <v>1473</v>
      </c>
      <c r="C671" s="35" t="s">
        <v>164</v>
      </c>
      <c r="D671" s="34" t="s">
        <v>155</v>
      </c>
      <c r="E671" s="34">
        <v>0</v>
      </c>
      <c r="F671" s="34">
        <v>1</v>
      </c>
      <c r="G671" s="34"/>
      <c r="H671" s="34"/>
    </row>
    <row r="672" spans="1:8" ht="15" customHeight="1" x14ac:dyDescent="0.3">
      <c r="A672" s="24" t="s">
        <v>1474</v>
      </c>
      <c r="B672" s="23" t="s">
        <v>1475</v>
      </c>
      <c r="C672" s="23" t="s">
        <v>833</v>
      </c>
      <c r="D672" s="24" t="s">
        <v>155</v>
      </c>
      <c r="E672" s="24">
        <v>0</v>
      </c>
      <c r="F672" s="24">
        <v>6</v>
      </c>
      <c r="G672" s="24"/>
      <c r="H672" s="24"/>
    </row>
    <row r="673" spans="1:8" ht="15" customHeight="1" x14ac:dyDescent="0.3">
      <c r="A673" s="34" t="s">
        <v>1476</v>
      </c>
      <c r="B673" s="35" t="s">
        <v>1477</v>
      </c>
      <c r="C673" s="35" t="s">
        <v>416</v>
      </c>
      <c r="D673" s="34" t="s">
        <v>155</v>
      </c>
      <c r="E673" s="34">
        <v>0</v>
      </c>
      <c r="F673" s="34">
        <v>1</v>
      </c>
      <c r="G673" s="34"/>
      <c r="H673" s="34"/>
    </row>
    <row r="674" spans="1:8" ht="15" customHeight="1" x14ac:dyDescent="0.3">
      <c r="A674" s="24" t="s">
        <v>1478</v>
      </c>
      <c r="B674" s="23" t="s">
        <v>1479</v>
      </c>
      <c r="C674" s="23" t="s">
        <v>158</v>
      </c>
      <c r="D674" s="24" t="s">
        <v>155</v>
      </c>
      <c r="E674" s="24">
        <v>0</v>
      </c>
      <c r="F674" s="24">
        <v>1</v>
      </c>
      <c r="G674" s="24"/>
      <c r="H674" s="24"/>
    </row>
    <row r="675" spans="1:8" ht="15" customHeight="1" x14ac:dyDescent="0.3">
      <c r="A675" s="34" t="s">
        <v>1480</v>
      </c>
      <c r="B675" s="35" t="s">
        <v>1481</v>
      </c>
      <c r="C675" s="35" t="s">
        <v>171</v>
      </c>
      <c r="D675" s="34" t="s">
        <v>155</v>
      </c>
      <c r="E675" s="34"/>
      <c r="F675" s="34"/>
      <c r="G675" s="34"/>
      <c r="H675" s="34"/>
    </row>
    <row r="676" spans="1:8" ht="15" customHeight="1" x14ac:dyDescent="0.3">
      <c r="A676" s="24" t="s">
        <v>1482</v>
      </c>
      <c r="B676" s="23" t="s">
        <v>1483</v>
      </c>
      <c r="C676" s="23" t="s">
        <v>171</v>
      </c>
      <c r="D676" s="24" t="s">
        <v>155</v>
      </c>
      <c r="E676" s="24">
        <v>0</v>
      </c>
      <c r="F676" s="24">
        <v>7</v>
      </c>
      <c r="G676" s="24"/>
      <c r="H676" s="24"/>
    </row>
    <row r="677" spans="1:8" ht="15" customHeight="1" x14ac:dyDescent="0.3">
      <c r="A677" s="34" t="s">
        <v>1484</v>
      </c>
      <c r="B677" s="35" t="s">
        <v>1485</v>
      </c>
      <c r="C677" s="35" t="s">
        <v>561</v>
      </c>
      <c r="D677" s="34" t="s">
        <v>155</v>
      </c>
      <c r="E677" s="34">
        <v>0</v>
      </c>
      <c r="F677" s="34">
        <v>1</v>
      </c>
      <c r="G677" s="34"/>
      <c r="H677" s="34"/>
    </row>
    <row r="678" spans="1:8" ht="15" customHeight="1" x14ac:dyDescent="0.3">
      <c r="A678" s="24" t="s">
        <v>1486</v>
      </c>
      <c r="B678" s="23" t="s">
        <v>1487</v>
      </c>
      <c r="C678" s="23" t="s">
        <v>216</v>
      </c>
      <c r="D678" s="24" t="s">
        <v>155</v>
      </c>
      <c r="E678" s="24">
        <v>0</v>
      </c>
      <c r="F678" s="24">
        <v>4</v>
      </c>
      <c r="G678" s="24"/>
      <c r="H678" s="24"/>
    </row>
    <row r="679" spans="1:8" ht="15" customHeight="1" x14ac:dyDescent="0.3">
      <c r="A679" s="34" t="s">
        <v>1488</v>
      </c>
      <c r="B679" s="35" t="s">
        <v>1489</v>
      </c>
      <c r="C679" s="35" t="s">
        <v>213</v>
      </c>
      <c r="D679" s="34" t="s">
        <v>155</v>
      </c>
      <c r="E679" s="34">
        <v>0</v>
      </c>
      <c r="F679" s="34">
        <v>2</v>
      </c>
      <c r="G679" s="34"/>
      <c r="H679" s="34"/>
    </row>
    <row r="680" spans="1:8" ht="15" customHeight="1" x14ac:dyDescent="0.3">
      <c r="A680" s="24" t="s">
        <v>1490</v>
      </c>
      <c r="B680" s="23" t="s">
        <v>1491</v>
      </c>
      <c r="C680" s="23" t="s">
        <v>164</v>
      </c>
      <c r="D680" s="24" t="s">
        <v>155</v>
      </c>
      <c r="E680" s="24">
        <v>0</v>
      </c>
      <c r="F680" s="24">
        <v>4</v>
      </c>
      <c r="G680" s="24"/>
      <c r="H680" s="24"/>
    </row>
    <row r="681" spans="1:8" ht="15" customHeight="1" x14ac:dyDescent="0.3">
      <c r="A681" s="34" t="s">
        <v>1492</v>
      </c>
      <c r="B681" s="35" t="s">
        <v>1493</v>
      </c>
      <c r="C681" s="35" t="s">
        <v>561</v>
      </c>
      <c r="D681" s="34" t="s">
        <v>155</v>
      </c>
      <c r="E681" s="34">
        <v>0</v>
      </c>
      <c r="F681" s="34">
        <v>4</v>
      </c>
      <c r="G681" s="34"/>
      <c r="H681" s="34"/>
    </row>
    <row r="682" spans="1:8" ht="15" customHeight="1" x14ac:dyDescent="0.3">
      <c r="A682" s="24" t="s">
        <v>1494</v>
      </c>
      <c r="B682" s="23" t="s">
        <v>1495</v>
      </c>
      <c r="C682" s="23" t="s">
        <v>216</v>
      </c>
      <c r="D682" s="24" t="s">
        <v>155</v>
      </c>
      <c r="E682" s="24">
        <v>0</v>
      </c>
      <c r="F682" s="24">
        <v>1</v>
      </c>
      <c r="G682" s="24"/>
      <c r="H682" s="24"/>
    </row>
    <row r="683" spans="1:8" ht="15" customHeight="1" x14ac:dyDescent="0.3">
      <c r="A683" s="34" t="s">
        <v>1496</v>
      </c>
      <c r="B683" s="35" t="s">
        <v>1497</v>
      </c>
      <c r="C683" s="35" t="s">
        <v>213</v>
      </c>
      <c r="D683" s="34" t="s">
        <v>155</v>
      </c>
      <c r="E683" s="34">
        <v>0</v>
      </c>
      <c r="F683" s="34">
        <v>3</v>
      </c>
      <c r="G683" s="34"/>
      <c r="H683" s="34"/>
    </row>
    <row r="684" spans="1:8" ht="15" customHeight="1" x14ac:dyDescent="0.3">
      <c r="A684" s="24" t="s">
        <v>1498</v>
      </c>
      <c r="B684" s="23" t="s">
        <v>1499</v>
      </c>
      <c r="C684" s="23" t="s">
        <v>154</v>
      </c>
      <c r="D684" s="24" t="s">
        <v>155</v>
      </c>
      <c r="E684" s="24">
        <v>0</v>
      </c>
      <c r="F684" s="24">
        <v>1</v>
      </c>
      <c r="G684" s="24"/>
      <c r="H684" s="24"/>
    </row>
    <row r="685" spans="1:8" ht="15" customHeight="1" x14ac:dyDescent="0.3">
      <c r="A685" s="34" t="s">
        <v>1500</v>
      </c>
      <c r="B685" s="35" t="s">
        <v>1501</v>
      </c>
      <c r="C685" s="35" t="s">
        <v>309</v>
      </c>
      <c r="D685" s="34" t="s">
        <v>155</v>
      </c>
      <c r="E685" s="34">
        <v>0</v>
      </c>
      <c r="F685" s="34">
        <v>2</v>
      </c>
      <c r="G685" s="34"/>
      <c r="H685" s="34"/>
    </row>
    <row r="686" spans="1:8" ht="15" customHeight="1" x14ac:dyDescent="0.3">
      <c r="A686" s="24" t="s">
        <v>1502</v>
      </c>
      <c r="B686" s="23" t="s">
        <v>1503</v>
      </c>
      <c r="C686" s="23" t="s">
        <v>213</v>
      </c>
      <c r="D686" s="24" t="s">
        <v>155</v>
      </c>
      <c r="E686" s="24">
        <v>0</v>
      </c>
      <c r="F686" s="24">
        <v>2</v>
      </c>
      <c r="G686" s="24"/>
      <c r="H686" s="24"/>
    </row>
    <row r="687" spans="1:8" ht="15" customHeight="1" x14ac:dyDescent="0.3">
      <c r="A687" s="34" t="s">
        <v>1504</v>
      </c>
      <c r="B687" s="35" t="s">
        <v>1505</v>
      </c>
      <c r="C687" s="35" t="s">
        <v>213</v>
      </c>
      <c r="D687" s="34" t="s">
        <v>155</v>
      </c>
      <c r="E687" s="34">
        <v>0</v>
      </c>
      <c r="F687" s="34">
        <v>3</v>
      </c>
      <c r="G687" s="34"/>
      <c r="H687" s="34"/>
    </row>
    <row r="688" spans="1:8" ht="15" customHeight="1" x14ac:dyDescent="0.3">
      <c r="A688" s="24" t="s">
        <v>1506</v>
      </c>
      <c r="B688" s="23" t="s">
        <v>1507</v>
      </c>
      <c r="C688" s="23" t="s">
        <v>158</v>
      </c>
      <c r="D688" s="24" t="s">
        <v>155</v>
      </c>
      <c r="E688" s="24">
        <v>0</v>
      </c>
      <c r="F688" s="24">
        <v>1</v>
      </c>
      <c r="G688" s="24"/>
      <c r="H688" s="24"/>
    </row>
    <row r="689" spans="1:8" ht="15" customHeight="1" x14ac:dyDescent="0.3">
      <c r="A689" s="34" t="s">
        <v>1508</v>
      </c>
      <c r="B689" s="35" t="s">
        <v>1509</v>
      </c>
      <c r="C689" s="35" t="s">
        <v>164</v>
      </c>
      <c r="D689" s="34" t="s">
        <v>155</v>
      </c>
      <c r="E689" s="34">
        <v>0</v>
      </c>
      <c r="F689" s="34">
        <v>3</v>
      </c>
      <c r="G689" s="34"/>
      <c r="H689" s="34"/>
    </row>
    <row r="690" spans="1:8" ht="15" customHeight="1" x14ac:dyDescent="0.3">
      <c r="A690" s="24" t="s">
        <v>1510</v>
      </c>
      <c r="B690" s="23" t="s">
        <v>1511</v>
      </c>
      <c r="C690" s="23" t="s">
        <v>158</v>
      </c>
      <c r="D690" s="24" t="s">
        <v>155</v>
      </c>
      <c r="E690" s="24">
        <v>0</v>
      </c>
      <c r="F690" s="24">
        <v>2</v>
      </c>
      <c r="G690" s="24"/>
      <c r="H690" s="24"/>
    </row>
    <row r="691" spans="1:8" ht="15" customHeight="1" x14ac:dyDescent="0.3">
      <c r="A691" s="34" t="s">
        <v>1512</v>
      </c>
      <c r="B691" s="35" t="s">
        <v>1513</v>
      </c>
      <c r="C691" s="35" t="s">
        <v>635</v>
      </c>
      <c r="D691" s="34" t="s">
        <v>155</v>
      </c>
      <c r="E691" s="34">
        <v>0</v>
      </c>
      <c r="F691" s="34">
        <v>2</v>
      </c>
      <c r="G691" s="34"/>
      <c r="H691" s="34"/>
    </row>
    <row r="692" spans="1:8" ht="15" customHeight="1" x14ac:dyDescent="0.3">
      <c r="A692" s="24" t="s">
        <v>1514</v>
      </c>
      <c r="B692" s="23" t="s">
        <v>1515</v>
      </c>
      <c r="C692" s="23" t="s">
        <v>216</v>
      </c>
      <c r="D692" s="24" t="s">
        <v>155</v>
      </c>
      <c r="E692" s="24">
        <v>0</v>
      </c>
      <c r="F692" s="24">
        <v>1</v>
      </c>
      <c r="G692" s="24"/>
      <c r="H692" s="24"/>
    </row>
    <row r="693" spans="1:8" ht="15" customHeight="1" x14ac:dyDescent="0.3">
      <c r="A693" s="34" t="s">
        <v>1516</v>
      </c>
      <c r="B693" s="35" t="s">
        <v>1517</v>
      </c>
      <c r="C693" s="35" t="s">
        <v>185</v>
      </c>
      <c r="D693" s="34" t="s">
        <v>155</v>
      </c>
      <c r="E693" s="34">
        <v>0</v>
      </c>
      <c r="F693" s="34">
        <v>1</v>
      </c>
      <c r="G693" s="34"/>
      <c r="H693" s="34"/>
    </row>
    <row r="694" spans="1:8" ht="15" customHeight="1" x14ac:dyDescent="0.3">
      <c r="A694" s="24" t="s">
        <v>1518</v>
      </c>
      <c r="B694" s="23" t="s">
        <v>1519</v>
      </c>
      <c r="C694" s="23" t="s">
        <v>171</v>
      </c>
      <c r="D694" s="24" t="s">
        <v>155</v>
      </c>
      <c r="E694" s="24">
        <v>0</v>
      </c>
      <c r="F694" s="24">
        <v>1</v>
      </c>
      <c r="G694" s="24"/>
      <c r="H694" s="24"/>
    </row>
    <row r="695" spans="1:8" ht="15" customHeight="1" x14ac:dyDescent="0.3">
      <c r="A695" s="34" t="s">
        <v>1520</v>
      </c>
      <c r="B695" s="35" t="s">
        <v>1521</v>
      </c>
      <c r="C695" s="35" t="s">
        <v>158</v>
      </c>
      <c r="D695" s="34" t="s">
        <v>155</v>
      </c>
      <c r="E695" s="34">
        <v>0</v>
      </c>
      <c r="F695" s="34">
        <v>2</v>
      </c>
      <c r="G695" s="34"/>
      <c r="H695" s="34"/>
    </row>
    <row r="696" spans="1:8" ht="15" customHeight="1" x14ac:dyDescent="0.3">
      <c r="A696" s="24" t="s">
        <v>1522</v>
      </c>
      <c r="B696" s="23" t="s">
        <v>1523</v>
      </c>
      <c r="C696" s="23" t="s">
        <v>164</v>
      </c>
      <c r="D696" s="24" t="s">
        <v>155</v>
      </c>
      <c r="E696" s="24">
        <v>0</v>
      </c>
      <c r="F696" s="24">
        <v>1</v>
      </c>
      <c r="G696" s="24"/>
      <c r="H696" s="24"/>
    </row>
    <row r="697" spans="1:8" ht="15" customHeight="1" x14ac:dyDescent="0.3">
      <c r="A697" s="34" t="s">
        <v>1524</v>
      </c>
      <c r="B697" s="35" t="s">
        <v>1525</v>
      </c>
      <c r="C697" s="35" t="s">
        <v>198</v>
      </c>
      <c r="D697" s="34" t="s">
        <v>155</v>
      </c>
      <c r="E697" s="34">
        <v>0</v>
      </c>
      <c r="F697" s="34">
        <v>2</v>
      </c>
      <c r="G697" s="34"/>
      <c r="H697" s="34"/>
    </row>
    <row r="698" spans="1:8" ht="15" customHeight="1" x14ac:dyDescent="0.3">
      <c r="A698" s="24" t="s">
        <v>1526</v>
      </c>
      <c r="B698" s="23" t="s">
        <v>1527</v>
      </c>
      <c r="C698" s="23" t="s">
        <v>158</v>
      </c>
      <c r="D698" s="24" t="s">
        <v>155</v>
      </c>
      <c r="E698" s="24">
        <v>0</v>
      </c>
      <c r="F698" s="24">
        <v>2</v>
      </c>
      <c r="G698" s="24"/>
      <c r="H698" s="24"/>
    </row>
    <row r="699" spans="1:8" ht="15" customHeight="1" x14ac:dyDescent="0.3">
      <c r="A699" s="34" t="s">
        <v>1528</v>
      </c>
      <c r="B699" s="35" t="s">
        <v>1529</v>
      </c>
      <c r="C699" s="35" t="s">
        <v>185</v>
      </c>
      <c r="D699" s="34" t="s">
        <v>155</v>
      </c>
      <c r="E699" s="34">
        <v>0</v>
      </c>
      <c r="F699" s="34">
        <v>1</v>
      </c>
      <c r="G699" s="34"/>
      <c r="H699" s="34"/>
    </row>
    <row r="700" spans="1:8" ht="15" customHeight="1" x14ac:dyDescent="0.3">
      <c r="A700" s="24" t="s">
        <v>1530</v>
      </c>
      <c r="B700" s="23" t="s">
        <v>1531</v>
      </c>
      <c r="C700" s="23" t="s">
        <v>198</v>
      </c>
      <c r="D700" s="24" t="s">
        <v>155</v>
      </c>
      <c r="E700" s="24">
        <v>0</v>
      </c>
      <c r="F700" s="24">
        <v>1</v>
      </c>
      <c r="G700" s="24"/>
      <c r="H700" s="24"/>
    </row>
    <row r="701" spans="1:8" ht="15" customHeight="1" x14ac:dyDescent="0.3">
      <c r="A701" s="34" t="s">
        <v>1532</v>
      </c>
      <c r="B701" s="35" t="s">
        <v>1533</v>
      </c>
      <c r="C701" s="35" t="s">
        <v>158</v>
      </c>
      <c r="D701" s="34" t="s">
        <v>155</v>
      </c>
      <c r="E701" s="34">
        <v>0</v>
      </c>
      <c r="F701" s="34">
        <v>1</v>
      </c>
      <c r="G701" s="34"/>
      <c r="H701" s="34"/>
    </row>
    <row r="702" spans="1:8" ht="15" customHeight="1" x14ac:dyDescent="0.3">
      <c r="A702" s="24" t="s">
        <v>1534</v>
      </c>
      <c r="B702" s="23" t="s">
        <v>1535</v>
      </c>
      <c r="C702" s="23" t="s">
        <v>164</v>
      </c>
      <c r="D702" s="24" t="s">
        <v>155</v>
      </c>
      <c r="E702" s="24">
        <v>0</v>
      </c>
      <c r="F702" s="24">
        <v>2</v>
      </c>
      <c r="G702" s="24"/>
      <c r="H702" s="24"/>
    </row>
    <row r="703" spans="1:8" ht="15" customHeight="1" x14ac:dyDescent="0.3">
      <c r="A703" s="34" t="s">
        <v>1536</v>
      </c>
      <c r="B703" s="35" t="s">
        <v>1537</v>
      </c>
      <c r="C703" s="35" t="s">
        <v>216</v>
      </c>
      <c r="D703" s="34" t="s">
        <v>155</v>
      </c>
      <c r="E703" s="34">
        <v>0</v>
      </c>
      <c r="F703" s="34">
        <v>1</v>
      </c>
      <c r="G703" s="34"/>
      <c r="H703" s="34"/>
    </row>
    <row r="704" spans="1:8" ht="15" customHeight="1" x14ac:dyDescent="0.3">
      <c r="A704" s="24" t="s">
        <v>1538</v>
      </c>
      <c r="B704" s="23" t="s">
        <v>1539</v>
      </c>
      <c r="C704" s="23" t="s">
        <v>198</v>
      </c>
      <c r="D704" s="24" t="s">
        <v>155</v>
      </c>
      <c r="E704" s="24">
        <v>0</v>
      </c>
      <c r="F704" s="24">
        <v>7</v>
      </c>
      <c r="G704" s="24"/>
      <c r="H704" s="24"/>
    </row>
    <row r="705" spans="1:8" ht="15" customHeight="1" x14ac:dyDescent="0.3">
      <c r="A705" s="34" t="s">
        <v>1540</v>
      </c>
      <c r="B705" s="35" t="s">
        <v>1541</v>
      </c>
      <c r="C705" s="35" t="s">
        <v>416</v>
      </c>
      <c r="D705" s="34" t="s">
        <v>155</v>
      </c>
      <c r="E705" s="34">
        <v>0</v>
      </c>
      <c r="F705" s="34">
        <v>2</v>
      </c>
      <c r="G705" s="34"/>
      <c r="H705" s="34"/>
    </row>
    <row r="706" spans="1:8" ht="15" customHeight="1" x14ac:dyDescent="0.3">
      <c r="A706" s="24" t="s">
        <v>1542</v>
      </c>
      <c r="B706" s="23" t="s">
        <v>1543</v>
      </c>
      <c r="C706" s="23" t="s">
        <v>185</v>
      </c>
      <c r="D706" s="24" t="s">
        <v>155</v>
      </c>
      <c r="E706" s="24">
        <v>0</v>
      </c>
      <c r="F706" s="24">
        <v>1</v>
      </c>
      <c r="G706" s="24"/>
      <c r="H706" s="24"/>
    </row>
    <row r="707" spans="1:8" ht="15" customHeight="1" x14ac:dyDescent="0.3">
      <c r="A707" s="34" t="s">
        <v>1544</v>
      </c>
      <c r="B707" s="35" t="s">
        <v>1545</v>
      </c>
      <c r="C707" s="35" t="s">
        <v>213</v>
      </c>
      <c r="D707" s="34" t="s">
        <v>155</v>
      </c>
      <c r="E707" s="34">
        <v>3</v>
      </c>
      <c r="F707" s="34">
        <v>4</v>
      </c>
      <c r="G707" s="34"/>
      <c r="H707" s="34"/>
    </row>
    <row r="708" spans="1:8" ht="15" customHeight="1" x14ac:dyDescent="0.3">
      <c r="A708" s="24" t="s">
        <v>1546</v>
      </c>
      <c r="B708" s="23" t="s">
        <v>1547</v>
      </c>
      <c r="C708" s="23" t="s">
        <v>309</v>
      </c>
      <c r="D708" s="24" t="s">
        <v>155</v>
      </c>
      <c r="E708" s="24">
        <v>0</v>
      </c>
      <c r="F708" s="24">
        <v>4</v>
      </c>
      <c r="G708" s="24"/>
      <c r="H708" s="24"/>
    </row>
    <row r="709" spans="1:8" ht="15" customHeight="1" x14ac:dyDescent="0.3">
      <c r="A709" s="34" t="s">
        <v>1548</v>
      </c>
      <c r="B709" s="35" t="s">
        <v>1549</v>
      </c>
      <c r="C709" s="35" t="s">
        <v>158</v>
      </c>
      <c r="D709" s="34" t="s">
        <v>155</v>
      </c>
      <c r="E709" s="34">
        <v>0</v>
      </c>
      <c r="F709" s="34">
        <v>1</v>
      </c>
      <c r="G709" s="34"/>
      <c r="H709" s="34"/>
    </row>
    <row r="710" spans="1:8" ht="15" customHeight="1" x14ac:dyDescent="0.3">
      <c r="A710" s="24" t="s">
        <v>1550</v>
      </c>
      <c r="B710" s="23" t="s">
        <v>1551</v>
      </c>
      <c r="C710" s="23" t="s">
        <v>198</v>
      </c>
      <c r="D710" s="24" t="s">
        <v>155</v>
      </c>
      <c r="E710" s="24">
        <v>0</v>
      </c>
      <c r="F710" s="24">
        <v>1</v>
      </c>
      <c r="G710" s="24"/>
      <c r="H710" s="24"/>
    </row>
    <row r="711" spans="1:8" ht="15" customHeight="1" x14ac:dyDescent="0.3">
      <c r="A711" s="34" t="s">
        <v>1552</v>
      </c>
      <c r="B711" s="35" t="s">
        <v>1553</v>
      </c>
      <c r="C711" s="35" t="s">
        <v>158</v>
      </c>
      <c r="D711" s="34" t="s">
        <v>155</v>
      </c>
      <c r="E711" s="34">
        <v>1</v>
      </c>
      <c r="F711" s="34">
        <v>5</v>
      </c>
      <c r="G711" s="34"/>
      <c r="H711" s="34"/>
    </row>
    <row r="712" spans="1:8" ht="15" customHeight="1" x14ac:dyDescent="0.3">
      <c r="A712" s="24" t="s">
        <v>1554</v>
      </c>
      <c r="B712" s="23" t="s">
        <v>1555</v>
      </c>
      <c r="C712" s="23" t="s">
        <v>171</v>
      </c>
      <c r="D712" s="24" t="s">
        <v>155</v>
      </c>
      <c r="E712" s="24">
        <v>12</v>
      </c>
      <c r="F712" s="24">
        <v>6</v>
      </c>
      <c r="G712" s="24"/>
      <c r="H712" s="24"/>
    </row>
    <row r="713" spans="1:8" ht="15" customHeight="1" x14ac:dyDescent="0.3">
      <c r="A713" s="34" t="s">
        <v>1556</v>
      </c>
      <c r="B713" s="35" t="s">
        <v>1557</v>
      </c>
      <c r="C713" s="35" t="s">
        <v>164</v>
      </c>
      <c r="D713" s="34" t="s">
        <v>155</v>
      </c>
      <c r="E713" s="34">
        <v>0</v>
      </c>
      <c r="F713" s="34">
        <v>4</v>
      </c>
      <c r="G713" s="34"/>
      <c r="H713" s="34"/>
    </row>
    <row r="714" spans="1:8" ht="15" customHeight="1" x14ac:dyDescent="0.3">
      <c r="A714" s="24" t="s">
        <v>1558</v>
      </c>
      <c r="B714" s="23" t="s">
        <v>1559</v>
      </c>
      <c r="C714" s="23" t="s">
        <v>164</v>
      </c>
      <c r="D714" s="24" t="s">
        <v>155</v>
      </c>
      <c r="E714" s="24">
        <v>0</v>
      </c>
      <c r="F714" s="24">
        <v>1</v>
      </c>
      <c r="G714" s="24"/>
      <c r="H714" s="24"/>
    </row>
    <row r="715" spans="1:8" ht="15" customHeight="1" x14ac:dyDescent="0.3">
      <c r="A715" s="34" t="s">
        <v>1560</v>
      </c>
      <c r="B715" s="35" t="s">
        <v>1561</v>
      </c>
      <c r="C715" s="35" t="s">
        <v>185</v>
      </c>
      <c r="D715" s="34" t="s">
        <v>155</v>
      </c>
      <c r="E715" s="34">
        <v>0</v>
      </c>
      <c r="F715" s="34">
        <v>2</v>
      </c>
      <c r="G715" s="34"/>
      <c r="H715" s="34"/>
    </row>
    <row r="716" spans="1:8" ht="15" customHeight="1" x14ac:dyDescent="0.3">
      <c r="A716" s="24" t="s">
        <v>1562</v>
      </c>
      <c r="B716" s="23" t="s">
        <v>1563</v>
      </c>
      <c r="C716" s="23" t="s">
        <v>158</v>
      </c>
      <c r="D716" s="24" t="s">
        <v>155</v>
      </c>
      <c r="E716" s="24">
        <v>0</v>
      </c>
      <c r="F716" s="24">
        <v>2</v>
      </c>
      <c r="G716" s="24"/>
      <c r="H716" s="24"/>
    </row>
    <row r="717" spans="1:8" ht="15" customHeight="1" x14ac:dyDescent="0.3">
      <c r="A717" s="34" t="s">
        <v>1564</v>
      </c>
      <c r="B717" s="35" t="s">
        <v>1565</v>
      </c>
      <c r="C717" s="35" t="s">
        <v>164</v>
      </c>
      <c r="D717" s="34" t="s">
        <v>155</v>
      </c>
      <c r="E717" s="34">
        <v>0</v>
      </c>
      <c r="F717" s="34">
        <v>1</v>
      </c>
      <c r="G717" s="34"/>
      <c r="H717" s="34"/>
    </row>
    <row r="718" spans="1:8" ht="15" customHeight="1" x14ac:dyDescent="0.3">
      <c r="A718" s="24" t="s">
        <v>1566</v>
      </c>
      <c r="B718" s="23" t="s">
        <v>1567</v>
      </c>
      <c r="C718" s="23" t="s">
        <v>309</v>
      </c>
      <c r="D718" s="24" t="s">
        <v>155</v>
      </c>
      <c r="E718" s="24">
        <v>0</v>
      </c>
      <c r="F718" s="24">
        <v>2</v>
      </c>
      <c r="G718" s="24"/>
      <c r="H718" s="24"/>
    </row>
    <row r="719" spans="1:8" ht="15" customHeight="1" x14ac:dyDescent="0.3">
      <c r="A719" s="34" t="s">
        <v>1568</v>
      </c>
      <c r="B719" s="35" t="s">
        <v>1569</v>
      </c>
      <c r="C719" s="35" t="s">
        <v>635</v>
      </c>
      <c r="D719" s="34" t="s">
        <v>155</v>
      </c>
      <c r="E719" s="34">
        <v>0</v>
      </c>
      <c r="F719" s="34">
        <v>4</v>
      </c>
      <c r="G719" s="34"/>
      <c r="H719" s="34"/>
    </row>
    <row r="720" spans="1:8" ht="15" customHeight="1" x14ac:dyDescent="0.3">
      <c r="A720" s="24" t="s">
        <v>1570</v>
      </c>
      <c r="B720" s="23" t="s">
        <v>1571</v>
      </c>
      <c r="C720" s="23" t="s">
        <v>225</v>
      </c>
      <c r="D720" s="24" t="s">
        <v>155</v>
      </c>
      <c r="E720" s="24">
        <v>0</v>
      </c>
      <c r="F720" s="24">
        <v>2</v>
      </c>
      <c r="G720" s="24"/>
      <c r="H720" s="24"/>
    </row>
    <row r="721" spans="1:8" ht="15" customHeight="1" x14ac:dyDescent="0.3">
      <c r="A721" s="34" t="s">
        <v>1572</v>
      </c>
      <c r="B721" s="35" t="s">
        <v>1573</v>
      </c>
      <c r="C721" s="35" t="s">
        <v>635</v>
      </c>
      <c r="D721" s="34" t="s">
        <v>155</v>
      </c>
      <c r="E721" s="34">
        <v>0</v>
      </c>
      <c r="F721" s="34">
        <v>2</v>
      </c>
      <c r="G721" s="34"/>
      <c r="H721" s="34"/>
    </row>
    <row r="722" spans="1:8" ht="15" customHeight="1" x14ac:dyDescent="0.3">
      <c r="A722" s="24" t="s">
        <v>1574</v>
      </c>
      <c r="B722" s="23" t="s">
        <v>1575</v>
      </c>
      <c r="C722" s="23" t="s">
        <v>416</v>
      </c>
      <c r="D722" s="24" t="s">
        <v>155</v>
      </c>
      <c r="E722" s="24">
        <v>0</v>
      </c>
      <c r="F722" s="24">
        <v>3</v>
      </c>
      <c r="G722" s="24"/>
      <c r="H722" s="24"/>
    </row>
    <row r="723" spans="1:8" ht="15" customHeight="1" x14ac:dyDescent="0.3">
      <c r="A723" s="34" t="s">
        <v>1576</v>
      </c>
      <c r="B723" s="35" t="s">
        <v>1577</v>
      </c>
      <c r="C723" s="35" t="s">
        <v>158</v>
      </c>
      <c r="D723" s="34" t="s">
        <v>155</v>
      </c>
      <c r="E723" s="34">
        <v>0</v>
      </c>
      <c r="F723" s="34">
        <v>2</v>
      </c>
      <c r="G723" s="34"/>
      <c r="H723" s="34"/>
    </row>
    <row r="724" spans="1:8" ht="15" customHeight="1" x14ac:dyDescent="0.3">
      <c r="A724" s="24" t="s">
        <v>1578</v>
      </c>
      <c r="B724" s="23" t="s">
        <v>1579</v>
      </c>
      <c r="C724" s="23" t="s">
        <v>171</v>
      </c>
      <c r="D724" s="24" t="s">
        <v>155</v>
      </c>
      <c r="E724" s="24">
        <v>3</v>
      </c>
      <c r="F724" s="24">
        <v>4</v>
      </c>
      <c r="G724" s="24"/>
      <c r="H724" s="24"/>
    </row>
    <row r="725" spans="1:8" ht="15" customHeight="1" x14ac:dyDescent="0.3">
      <c r="A725" s="34" t="s">
        <v>1580</v>
      </c>
      <c r="B725" s="35" t="s">
        <v>1581</v>
      </c>
      <c r="C725" s="35" t="s">
        <v>833</v>
      </c>
      <c r="D725" s="34" t="s">
        <v>155</v>
      </c>
      <c r="E725" s="34">
        <v>0</v>
      </c>
      <c r="F725" s="34">
        <v>1</v>
      </c>
      <c r="G725" s="34"/>
      <c r="H725" s="34"/>
    </row>
    <row r="726" spans="1:8" ht="15" customHeight="1" x14ac:dyDescent="0.3">
      <c r="A726" s="24" t="s">
        <v>1582</v>
      </c>
      <c r="B726" s="23" t="s">
        <v>1583</v>
      </c>
      <c r="C726" s="23" t="s">
        <v>164</v>
      </c>
      <c r="D726" s="24" t="s">
        <v>155</v>
      </c>
      <c r="E726" s="24">
        <v>0</v>
      </c>
      <c r="F726" s="24">
        <v>2</v>
      </c>
      <c r="G726" s="24"/>
      <c r="H726" s="24"/>
    </row>
    <row r="727" spans="1:8" ht="15" customHeight="1" x14ac:dyDescent="0.3">
      <c r="A727" s="34" t="s">
        <v>1584</v>
      </c>
      <c r="B727" s="35" t="s">
        <v>1585</v>
      </c>
      <c r="C727" s="35" t="s">
        <v>164</v>
      </c>
      <c r="D727" s="34" t="s">
        <v>155</v>
      </c>
      <c r="E727" s="34">
        <v>0</v>
      </c>
      <c r="F727" s="34">
        <v>3</v>
      </c>
      <c r="G727" s="34"/>
      <c r="H727" s="34"/>
    </row>
    <row r="728" spans="1:8" ht="15" customHeight="1" x14ac:dyDescent="0.3">
      <c r="A728" s="24" t="s">
        <v>1586</v>
      </c>
      <c r="B728" s="23" t="s">
        <v>1587</v>
      </c>
      <c r="C728" s="23" t="s">
        <v>171</v>
      </c>
      <c r="D728" s="24" t="s">
        <v>155</v>
      </c>
      <c r="E728" s="24">
        <v>0</v>
      </c>
      <c r="F728" s="24">
        <v>5</v>
      </c>
      <c r="G728" s="24"/>
      <c r="H728" s="24"/>
    </row>
    <row r="729" spans="1:8" ht="15" customHeight="1" x14ac:dyDescent="0.3">
      <c r="A729" s="34" t="s">
        <v>1588</v>
      </c>
      <c r="B729" s="35" t="s">
        <v>1589</v>
      </c>
      <c r="C729" s="35" t="s">
        <v>158</v>
      </c>
      <c r="D729" s="34" t="s">
        <v>155</v>
      </c>
      <c r="E729" s="34">
        <v>1</v>
      </c>
      <c r="F729" s="34">
        <v>1</v>
      </c>
      <c r="G729" s="34"/>
      <c r="H729" s="34"/>
    </row>
    <row r="730" spans="1:8" ht="15" customHeight="1" x14ac:dyDescent="0.3">
      <c r="A730" s="24" t="s">
        <v>1590</v>
      </c>
      <c r="B730" s="23" t="s">
        <v>1591</v>
      </c>
      <c r="C730" s="23" t="s">
        <v>171</v>
      </c>
      <c r="D730" s="24" t="s">
        <v>155</v>
      </c>
      <c r="E730" s="24">
        <v>0</v>
      </c>
      <c r="F730" s="24">
        <v>1</v>
      </c>
      <c r="G730" s="24"/>
      <c r="H730" s="24"/>
    </row>
    <row r="731" spans="1:8" ht="15" customHeight="1" x14ac:dyDescent="0.3">
      <c r="A731" s="34" t="s">
        <v>1592</v>
      </c>
      <c r="B731" s="35" t="s">
        <v>1593</v>
      </c>
      <c r="C731" s="35" t="s">
        <v>158</v>
      </c>
      <c r="D731" s="34" t="s">
        <v>155</v>
      </c>
      <c r="E731" s="34">
        <v>0</v>
      </c>
      <c r="F731" s="34">
        <v>2</v>
      </c>
      <c r="G731" s="34"/>
      <c r="H731" s="34"/>
    </row>
    <row r="732" spans="1:8" ht="15" customHeight="1" x14ac:dyDescent="0.3">
      <c r="A732" s="24" t="s">
        <v>1594</v>
      </c>
      <c r="B732" s="23" t="s">
        <v>1595</v>
      </c>
      <c r="C732" s="23" t="s">
        <v>833</v>
      </c>
      <c r="D732" s="24" t="s">
        <v>155</v>
      </c>
      <c r="E732" s="24">
        <v>0</v>
      </c>
      <c r="F732" s="24">
        <v>1</v>
      </c>
      <c r="G732" s="24"/>
      <c r="H732" s="24"/>
    </row>
    <row r="733" spans="1:8" ht="15" customHeight="1" x14ac:dyDescent="0.3">
      <c r="A733" s="34" t="s">
        <v>1596</v>
      </c>
      <c r="B733" s="35" t="s">
        <v>1597</v>
      </c>
      <c r="C733" s="35" t="s">
        <v>225</v>
      </c>
      <c r="D733" s="34" t="s">
        <v>155</v>
      </c>
      <c r="E733" s="34">
        <v>0</v>
      </c>
      <c r="F733" s="34">
        <v>2</v>
      </c>
      <c r="G733" s="34"/>
      <c r="H733" s="34"/>
    </row>
    <row r="734" spans="1:8" ht="15" customHeight="1" x14ac:dyDescent="0.3">
      <c r="A734" s="24" t="s">
        <v>1598</v>
      </c>
      <c r="B734" s="23" t="s">
        <v>1599</v>
      </c>
      <c r="C734" s="23" t="s">
        <v>198</v>
      </c>
      <c r="D734" s="24" t="s">
        <v>155</v>
      </c>
      <c r="E734" s="24">
        <v>0</v>
      </c>
      <c r="F734" s="24">
        <v>1</v>
      </c>
      <c r="G734" s="24"/>
      <c r="H734" s="24"/>
    </row>
    <row r="735" spans="1:8" ht="15" customHeight="1" x14ac:dyDescent="0.3">
      <c r="A735" s="34" t="s">
        <v>1600</v>
      </c>
      <c r="B735" s="35" t="s">
        <v>1601</v>
      </c>
      <c r="C735" s="35" t="s">
        <v>309</v>
      </c>
      <c r="D735" s="34" t="s">
        <v>155</v>
      </c>
      <c r="E735" s="34">
        <v>0</v>
      </c>
      <c r="F735" s="34">
        <v>1</v>
      </c>
      <c r="G735" s="34"/>
      <c r="H735" s="34"/>
    </row>
    <row r="736" spans="1:8" ht="15" customHeight="1" x14ac:dyDescent="0.3">
      <c r="A736" s="24" t="s">
        <v>1602</v>
      </c>
      <c r="B736" s="23" t="s">
        <v>1603</v>
      </c>
      <c r="C736" s="23" t="s">
        <v>213</v>
      </c>
      <c r="D736" s="24" t="s">
        <v>155</v>
      </c>
      <c r="E736" s="24">
        <v>0</v>
      </c>
      <c r="F736" s="24">
        <v>3</v>
      </c>
      <c r="G736" s="24"/>
      <c r="H736" s="24"/>
    </row>
    <row r="737" spans="1:8" ht="15" customHeight="1" x14ac:dyDescent="0.3">
      <c r="A737" s="34" t="s">
        <v>1604</v>
      </c>
      <c r="B737" s="35" t="s">
        <v>1605</v>
      </c>
      <c r="C737" s="35" t="s">
        <v>216</v>
      </c>
      <c r="D737" s="34" t="s">
        <v>155</v>
      </c>
      <c r="E737" s="34">
        <v>0</v>
      </c>
      <c r="F737" s="34">
        <v>2</v>
      </c>
      <c r="G737" s="34"/>
      <c r="H737" s="34"/>
    </row>
    <row r="738" spans="1:8" ht="15" customHeight="1" x14ac:dyDescent="0.3">
      <c r="A738" s="24" t="s">
        <v>1606</v>
      </c>
      <c r="B738" s="23" t="s">
        <v>1607</v>
      </c>
      <c r="C738" s="23" t="s">
        <v>158</v>
      </c>
      <c r="D738" s="24" t="s">
        <v>155</v>
      </c>
      <c r="E738" s="24">
        <v>1</v>
      </c>
      <c r="F738" s="24">
        <v>4</v>
      </c>
      <c r="G738" s="24"/>
      <c r="H738" s="24"/>
    </row>
    <row r="739" spans="1:8" ht="15" customHeight="1" x14ac:dyDescent="0.3">
      <c r="A739" s="34" t="s">
        <v>1608</v>
      </c>
      <c r="B739" s="35" t="s">
        <v>1609</v>
      </c>
      <c r="C739" s="35" t="s">
        <v>309</v>
      </c>
      <c r="D739" s="34" t="s">
        <v>155</v>
      </c>
      <c r="E739" s="34">
        <v>0</v>
      </c>
      <c r="F739" s="34">
        <v>1</v>
      </c>
      <c r="G739" s="34"/>
      <c r="H739" s="34"/>
    </row>
    <row r="740" spans="1:8" ht="15" customHeight="1" x14ac:dyDescent="0.3">
      <c r="A740" s="24" t="s">
        <v>1610</v>
      </c>
      <c r="B740" s="23" t="s">
        <v>1611</v>
      </c>
      <c r="C740" s="23" t="s">
        <v>164</v>
      </c>
      <c r="D740" s="24" t="s">
        <v>155</v>
      </c>
      <c r="E740" s="24">
        <v>0</v>
      </c>
      <c r="F740" s="24">
        <v>4</v>
      </c>
      <c r="G740" s="24"/>
      <c r="H740" s="24"/>
    </row>
    <row r="741" spans="1:8" ht="15" customHeight="1" x14ac:dyDescent="0.3">
      <c r="A741" s="34" t="s">
        <v>1612</v>
      </c>
      <c r="B741" s="35" t="s">
        <v>1613</v>
      </c>
      <c r="C741" s="35" t="s">
        <v>309</v>
      </c>
      <c r="D741" s="34" t="s">
        <v>155</v>
      </c>
      <c r="E741" s="34">
        <v>0</v>
      </c>
      <c r="F741" s="34">
        <v>2</v>
      </c>
      <c r="G741" s="34"/>
      <c r="H741" s="34"/>
    </row>
    <row r="742" spans="1:8" ht="15" customHeight="1" x14ac:dyDescent="0.3">
      <c r="A742" s="24" t="s">
        <v>1614</v>
      </c>
      <c r="B742" s="23" t="s">
        <v>1615</v>
      </c>
      <c r="C742" s="23" t="s">
        <v>309</v>
      </c>
      <c r="D742" s="24" t="s">
        <v>155</v>
      </c>
      <c r="E742" s="24">
        <v>0</v>
      </c>
      <c r="F742" s="24">
        <v>3</v>
      </c>
      <c r="G742" s="24"/>
      <c r="H742" s="24"/>
    </row>
    <row r="743" spans="1:8" ht="15" customHeight="1" x14ac:dyDescent="0.3">
      <c r="A743" s="34" t="s">
        <v>1616</v>
      </c>
      <c r="B743" s="35" t="s">
        <v>1617</v>
      </c>
      <c r="C743" s="35" t="s">
        <v>635</v>
      </c>
      <c r="D743" s="34" t="s">
        <v>155</v>
      </c>
      <c r="E743" s="34">
        <v>0</v>
      </c>
      <c r="F743" s="34">
        <v>1</v>
      </c>
      <c r="G743" s="34"/>
      <c r="H743" s="34"/>
    </row>
    <row r="744" spans="1:8" ht="15" customHeight="1" x14ac:dyDescent="0.3">
      <c r="A744" s="24" t="s">
        <v>1618</v>
      </c>
      <c r="B744" s="23" t="s">
        <v>1619</v>
      </c>
      <c r="C744" s="23" t="s">
        <v>158</v>
      </c>
      <c r="D744" s="24" t="s">
        <v>155</v>
      </c>
      <c r="E744" s="24">
        <v>0</v>
      </c>
      <c r="F744" s="24">
        <v>1</v>
      </c>
      <c r="G744" s="24"/>
      <c r="H744" s="24"/>
    </row>
    <row r="745" spans="1:8" ht="15" customHeight="1" x14ac:dyDescent="0.3">
      <c r="A745" s="34" t="s">
        <v>1620</v>
      </c>
      <c r="B745" s="35" t="s">
        <v>1621</v>
      </c>
      <c r="C745" s="35" t="s">
        <v>216</v>
      </c>
      <c r="D745" s="34" t="s">
        <v>155</v>
      </c>
      <c r="E745" s="34">
        <v>0</v>
      </c>
      <c r="F745" s="34">
        <v>2</v>
      </c>
      <c r="G745" s="34"/>
      <c r="H745" s="34"/>
    </row>
    <row r="746" spans="1:8" ht="15" customHeight="1" x14ac:dyDescent="0.3">
      <c r="A746" s="24" t="s">
        <v>1622</v>
      </c>
      <c r="B746" s="23" t="s">
        <v>1623</v>
      </c>
      <c r="C746" s="23" t="s">
        <v>164</v>
      </c>
      <c r="D746" s="24" t="s">
        <v>155</v>
      </c>
      <c r="E746" s="24">
        <v>0</v>
      </c>
      <c r="F746" s="24">
        <v>1</v>
      </c>
      <c r="G746" s="24"/>
      <c r="H746" s="24"/>
    </row>
    <row r="747" spans="1:8" ht="15" customHeight="1" x14ac:dyDescent="0.3">
      <c r="A747" s="34" t="s">
        <v>1624</v>
      </c>
      <c r="B747" s="35" t="s">
        <v>1625</v>
      </c>
      <c r="C747" s="35" t="s">
        <v>158</v>
      </c>
      <c r="D747" s="34" t="s">
        <v>155</v>
      </c>
      <c r="E747" s="34">
        <v>0</v>
      </c>
      <c r="F747" s="34">
        <v>1</v>
      </c>
      <c r="G747" s="34"/>
      <c r="H747" s="34"/>
    </row>
    <row r="748" spans="1:8" ht="15" customHeight="1" x14ac:dyDescent="0.3">
      <c r="A748" s="24" t="s">
        <v>1626</v>
      </c>
      <c r="B748" s="23" t="s">
        <v>1627</v>
      </c>
      <c r="C748" s="23" t="s">
        <v>158</v>
      </c>
      <c r="D748" s="24" t="s">
        <v>155</v>
      </c>
      <c r="E748" s="24">
        <v>0</v>
      </c>
      <c r="F748" s="24">
        <v>1</v>
      </c>
      <c r="G748" s="24"/>
      <c r="H748" s="24"/>
    </row>
    <row r="749" spans="1:8" ht="15" customHeight="1" x14ac:dyDescent="0.3">
      <c r="A749" s="34" t="s">
        <v>1628</v>
      </c>
      <c r="B749" s="35" t="s">
        <v>1629</v>
      </c>
      <c r="C749" s="35" t="s">
        <v>171</v>
      </c>
      <c r="D749" s="34" t="s">
        <v>155</v>
      </c>
      <c r="E749" s="34">
        <v>18</v>
      </c>
      <c r="F749" s="34">
        <v>7</v>
      </c>
      <c r="G749" s="34"/>
      <c r="H749" s="34"/>
    </row>
    <row r="750" spans="1:8" ht="15" customHeight="1" x14ac:dyDescent="0.3">
      <c r="A750" s="24" t="s">
        <v>1630</v>
      </c>
      <c r="B750" s="23" t="s">
        <v>1631</v>
      </c>
      <c r="C750" s="23" t="s">
        <v>309</v>
      </c>
      <c r="D750" s="24" t="s">
        <v>155</v>
      </c>
      <c r="E750" s="24">
        <v>0</v>
      </c>
      <c r="F750" s="24">
        <v>1</v>
      </c>
      <c r="G750" s="24"/>
      <c r="H750" s="24"/>
    </row>
    <row r="751" spans="1:8" ht="15" customHeight="1" x14ac:dyDescent="0.3">
      <c r="A751" s="34" t="s">
        <v>1632</v>
      </c>
      <c r="B751" s="35" t="s">
        <v>1633</v>
      </c>
      <c r="C751" s="35" t="s">
        <v>164</v>
      </c>
      <c r="D751" s="34" t="s">
        <v>155</v>
      </c>
      <c r="E751" s="34">
        <v>0</v>
      </c>
      <c r="F751" s="34">
        <v>2</v>
      </c>
      <c r="G751" s="34"/>
      <c r="H751" s="34"/>
    </row>
    <row r="752" spans="1:8" ht="15" customHeight="1" x14ac:dyDescent="0.3">
      <c r="A752" s="24" t="s">
        <v>1634</v>
      </c>
      <c r="B752" s="23" t="s">
        <v>1635</v>
      </c>
      <c r="C752" s="23" t="s">
        <v>185</v>
      </c>
      <c r="D752" s="24" t="s">
        <v>155</v>
      </c>
      <c r="E752" s="24">
        <v>0</v>
      </c>
      <c r="F752" s="24">
        <v>1</v>
      </c>
      <c r="G752" s="24"/>
      <c r="H752" s="24"/>
    </row>
    <row r="753" spans="1:8" ht="15" customHeight="1" x14ac:dyDescent="0.3">
      <c r="A753" s="34" t="s">
        <v>1636</v>
      </c>
      <c r="B753" s="35" t="s">
        <v>1637</v>
      </c>
      <c r="C753" s="35" t="s">
        <v>213</v>
      </c>
      <c r="D753" s="34" t="s">
        <v>155</v>
      </c>
      <c r="E753" s="34">
        <v>0</v>
      </c>
      <c r="F753" s="34">
        <v>3</v>
      </c>
      <c r="G753" s="34"/>
      <c r="H753" s="34"/>
    </row>
    <row r="754" spans="1:8" ht="15" customHeight="1" x14ac:dyDescent="0.3">
      <c r="A754" s="24" t="s">
        <v>1638</v>
      </c>
      <c r="B754" s="23" t="s">
        <v>1639</v>
      </c>
      <c r="C754" s="23" t="s">
        <v>185</v>
      </c>
      <c r="D754" s="24" t="s">
        <v>155</v>
      </c>
      <c r="E754" s="24">
        <v>0</v>
      </c>
      <c r="F754" s="24">
        <v>1</v>
      </c>
      <c r="G754" s="24"/>
      <c r="H754" s="24"/>
    </row>
    <row r="755" spans="1:8" ht="15" customHeight="1" x14ac:dyDescent="0.3">
      <c r="A755" s="34" t="s">
        <v>1640</v>
      </c>
      <c r="B755" s="35" t="s">
        <v>1641</v>
      </c>
      <c r="C755" s="35" t="s">
        <v>216</v>
      </c>
      <c r="D755" s="34" t="s">
        <v>155</v>
      </c>
      <c r="E755" s="34">
        <v>0</v>
      </c>
      <c r="F755" s="34">
        <v>4</v>
      </c>
      <c r="G755" s="34"/>
      <c r="H755" s="34"/>
    </row>
    <row r="756" spans="1:8" ht="15" customHeight="1" x14ac:dyDescent="0.3">
      <c r="A756" s="24" t="s">
        <v>1642</v>
      </c>
      <c r="B756" s="23" t="s">
        <v>1643</v>
      </c>
      <c r="C756" s="23" t="s">
        <v>158</v>
      </c>
      <c r="D756" s="24" t="s">
        <v>155</v>
      </c>
      <c r="E756" s="24">
        <v>0</v>
      </c>
      <c r="F756" s="24">
        <v>3</v>
      </c>
      <c r="G756" s="24"/>
      <c r="H756" s="24"/>
    </row>
    <row r="757" spans="1:8" ht="15" customHeight="1" x14ac:dyDescent="0.3">
      <c r="A757" s="34" t="s">
        <v>1644</v>
      </c>
      <c r="B757" s="35" t="s">
        <v>1645</v>
      </c>
      <c r="C757" s="35" t="s">
        <v>309</v>
      </c>
      <c r="D757" s="34" t="s">
        <v>155</v>
      </c>
      <c r="E757" s="34">
        <v>0</v>
      </c>
      <c r="F757" s="34">
        <v>2</v>
      </c>
      <c r="G757" s="34"/>
      <c r="H757" s="34"/>
    </row>
    <row r="758" spans="1:8" ht="15" customHeight="1" x14ac:dyDescent="0.3">
      <c r="A758" s="24" t="s">
        <v>1646</v>
      </c>
      <c r="B758" s="23" t="s">
        <v>1647</v>
      </c>
      <c r="C758" s="23" t="s">
        <v>216</v>
      </c>
      <c r="D758" s="24" t="s">
        <v>155</v>
      </c>
      <c r="E758" s="24">
        <v>0</v>
      </c>
      <c r="F758" s="24">
        <v>1</v>
      </c>
      <c r="G758" s="24"/>
      <c r="H758" s="24"/>
    </row>
    <row r="759" spans="1:8" ht="15" customHeight="1" x14ac:dyDescent="0.3">
      <c r="A759" s="34" t="s">
        <v>1648</v>
      </c>
      <c r="B759" s="35" t="s">
        <v>1649</v>
      </c>
      <c r="C759" s="35" t="s">
        <v>416</v>
      </c>
      <c r="D759" s="34" t="s">
        <v>155</v>
      </c>
      <c r="E759" s="34">
        <v>0</v>
      </c>
      <c r="F759" s="34">
        <v>2</v>
      </c>
      <c r="G759" s="34"/>
      <c r="H759" s="34"/>
    </row>
    <row r="760" spans="1:8" ht="15" customHeight="1" x14ac:dyDescent="0.3">
      <c r="A760" s="24" t="s">
        <v>1650</v>
      </c>
      <c r="B760" s="23" t="s">
        <v>1651</v>
      </c>
      <c r="C760" s="23" t="s">
        <v>164</v>
      </c>
      <c r="D760" s="24" t="s">
        <v>155</v>
      </c>
      <c r="E760" s="24">
        <v>0</v>
      </c>
      <c r="F760" s="24">
        <v>1</v>
      </c>
      <c r="G760" s="24"/>
      <c r="H760" s="24"/>
    </row>
    <row r="761" spans="1:8" ht="15" customHeight="1" x14ac:dyDescent="0.3">
      <c r="A761" s="34" t="s">
        <v>1652</v>
      </c>
      <c r="B761" s="35" t="s">
        <v>1653</v>
      </c>
      <c r="C761" s="35" t="s">
        <v>171</v>
      </c>
      <c r="D761" s="34" t="s">
        <v>155</v>
      </c>
      <c r="E761" s="34">
        <v>0</v>
      </c>
      <c r="F761" s="34">
        <v>1</v>
      </c>
      <c r="G761" s="34"/>
      <c r="H761" s="34"/>
    </row>
    <row r="762" spans="1:8" ht="15" customHeight="1" x14ac:dyDescent="0.3">
      <c r="A762" s="24" t="s">
        <v>1654</v>
      </c>
      <c r="B762" s="23" t="s">
        <v>1655</v>
      </c>
      <c r="C762" s="23" t="s">
        <v>309</v>
      </c>
      <c r="D762" s="24" t="s">
        <v>155</v>
      </c>
      <c r="E762" s="24">
        <v>1</v>
      </c>
      <c r="F762" s="24">
        <v>3</v>
      </c>
      <c r="G762" s="24"/>
      <c r="H762" s="24"/>
    </row>
    <row r="763" spans="1:8" ht="15" customHeight="1" x14ac:dyDescent="0.3">
      <c r="A763" s="34" t="s">
        <v>1656</v>
      </c>
      <c r="B763" s="35" t="s">
        <v>1657</v>
      </c>
      <c r="C763" s="35" t="s">
        <v>198</v>
      </c>
      <c r="D763" s="34" t="s">
        <v>155</v>
      </c>
      <c r="E763" s="34">
        <v>0</v>
      </c>
      <c r="F763" s="34">
        <v>2</v>
      </c>
      <c r="G763" s="34"/>
      <c r="H763" s="34"/>
    </row>
    <row r="764" spans="1:8" ht="15" customHeight="1" x14ac:dyDescent="0.3">
      <c r="A764" s="24" t="s">
        <v>1658</v>
      </c>
      <c r="B764" s="23" t="s">
        <v>1659</v>
      </c>
      <c r="C764" s="23" t="s">
        <v>185</v>
      </c>
      <c r="D764" s="24" t="s">
        <v>155</v>
      </c>
      <c r="E764" s="24">
        <v>0</v>
      </c>
      <c r="F764" s="24">
        <v>1</v>
      </c>
      <c r="G764" s="24"/>
      <c r="H764" s="24"/>
    </row>
    <row r="765" spans="1:8" ht="15" customHeight="1" x14ac:dyDescent="0.3">
      <c r="A765" s="34" t="s">
        <v>1660</v>
      </c>
      <c r="B765" s="35" t="s">
        <v>1661</v>
      </c>
      <c r="C765" s="35" t="s">
        <v>164</v>
      </c>
      <c r="D765" s="34" t="s">
        <v>155</v>
      </c>
      <c r="E765" s="34">
        <v>0</v>
      </c>
      <c r="F765" s="34">
        <v>3</v>
      </c>
      <c r="G765" s="34"/>
      <c r="H765" s="34"/>
    </row>
    <row r="766" spans="1:8" ht="15" customHeight="1" x14ac:dyDescent="0.3">
      <c r="A766" s="24" t="s">
        <v>1662</v>
      </c>
      <c r="B766" s="23" t="s">
        <v>1663</v>
      </c>
      <c r="C766" s="23" t="s">
        <v>225</v>
      </c>
      <c r="D766" s="24" t="s">
        <v>155</v>
      </c>
      <c r="E766" s="24">
        <v>0</v>
      </c>
      <c r="F766" s="24">
        <v>2</v>
      </c>
      <c r="G766" s="24"/>
      <c r="H766" s="24"/>
    </row>
    <row r="767" spans="1:8" ht="15" customHeight="1" x14ac:dyDescent="0.3">
      <c r="A767" s="34" t="s">
        <v>1664</v>
      </c>
      <c r="B767" s="35" t="s">
        <v>1665</v>
      </c>
      <c r="C767" s="35" t="s">
        <v>216</v>
      </c>
      <c r="D767" s="34" t="s">
        <v>155</v>
      </c>
      <c r="E767" s="34">
        <v>0</v>
      </c>
      <c r="F767" s="34">
        <v>2</v>
      </c>
      <c r="G767" s="34"/>
      <c r="H767" s="34"/>
    </row>
    <row r="768" spans="1:8" ht="15" customHeight="1" x14ac:dyDescent="0.3">
      <c r="A768" s="24" t="s">
        <v>1666</v>
      </c>
      <c r="B768" s="23" t="s">
        <v>1667</v>
      </c>
      <c r="C768" s="23" t="s">
        <v>158</v>
      </c>
      <c r="D768" s="24" t="s">
        <v>155</v>
      </c>
      <c r="E768" s="24">
        <v>8</v>
      </c>
      <c r="F768" s="24">
        <v>7</v>
      </c>
      <c r="G768" s="24"/>
      <c r="H768" s="24"/>
    </row>
    <row r="769" spans="1:8" ht="15" customHeight="1" x14ac:dyDescent="0.3">
      <c r="A769" s="34" t="s">
        <v>1668</v>
      </c>
      <c r="B769" s="35" t="s">
        <v>1669</v>
      </c>
      <c r="C769" s="35" t="s">
        <v>171</v>
      </c>
      <c r="D769" s="34" t="s">
        <v>155</v>
      </c>
      <c r="E769" s="34">
        <v>0</v>
      </c>
      <c r="F769" s="34">
        <v>4</v>
      </c>
      <c r="G769" s="34"/>
      <c r="H769" s="34"/>
    </row>
    <row r="770" spans="1:8" ht="15" customHeight="1" x14ac:dyDescent="0.3">
      <c r="A770" s="24" t="s">
        <v>1670</v>
      </c>
      <c r="B770" s="23" t="s">
        <v>1671</v>
      </c>
      <c r="C770" s="23" t="s">
        <v>833</v>
      </c>
      <c r="D770" s="24" t="s">
        <v>155</v>
      </c>
      <c r="E770" s="24">
        <v>0</v>
      </c>
      <c r="F770" s="24">
        <v>1</v>
      </c>
      <c r="G770" s="24"/>
      <c r="H770" s="24"/>
    </row>
    <row r="771" spans="1:8" ht="15" customHeight="1" x14ac:dyDescent="0.3">
      <c r="A771" s="34" t="s">
        <v>1672</v>
      </c>
      <c r="B771" s="35" t="s">
        <v>1673</v>
      </c>
      <c r="C771" s="35" t="s">
        <v>171</v>
      </c>
      <c r="D771" s="34" t="s">
        <v>155</v>
      </c>
      <c r="E771" s="34">
        <v>0</v>
      </c>
      <c r="F771" s="34">
        <v>1</v>
      </c>
      <c r="G771" s="34"/>
      <c r="H771" s="34"/>
    </row>
    <row r="772" spans="1:8" ht="15" customHeight="1" x14ac:dyDescent="0.3">
      <c r="A772" s="24" t="s">
        <v>1674</v>
      </c>
      <c r="B772" s="23" t="s">
        <v>1675</v>
      </c>
      <c r="C772" s="23" t="s">
        <v>158</v>
      </c>
      <c r="D772" s="24" t="s">
        <v>155</v>
      </c>
      <c r="E772" s="24">
        <v>0</v>
      </c>
      <c r="F772" s="24">
        <v>2</v>
      </c>
      <c r="G772" s="24"/>
      <c r="H772" s="24"/>
    </row>
    <row r="773" spans="1:8" ht="15" customHeight="1" x14ac:dyDescent="0.3">
      <c r="A773" s="34" t="s">
        <v>1676</v>
      </c>
      <c r="B773" s="35" t="s">
        <v>1677</v>
      </c>
      <c r="C773" s="35" t="s">
        <v>164</v>
      </c>
      <c r="D773" s="34" t="s">
        <v>155</v>
      </c>
      <c r="E773" s="34">
        <v>0</v>
      </c>
      <c r="F773" s="34">
        <v>1</v>
      </c>
      <c r="G773" s="34"/>
      <c r="H773" s="34"/>
    </row>
    <row r="774" spans="1:8" ht="15" customHeight="1" x14ac:dyDescent="0.3">
      <c r="A774" s="24" t="s">
        <v>1678</v>
      </c>
      <c r="B774" s="23" t="s">
        <v>1679</v>
      </c>
      <c r="C774" s="23" t="s">
        <v>225</v>
      </c>
      <c r="D774" s="24" t="s">
        <v>155</v>
      </c>
      <c r="E774" s="24">
        <v>0</v>
      </c>
      <c r="F774" s="24">
        <v>3</v>
      </c>
      <c r="G774" s="24"/>
      <c r="H774" s="24"/>
    </row>
    <row r="775" spans="1:8" ht="15" customHeight="1" x14ac:dyDescent="0.3">
      <c r="A775" s="34" t="s">
        <v>1680</v>
      </c>
      <c r="B775" s="35" t="s">
        <v>1681</v>
      </c>
      <c r="C775" s="35" t="s">
        <v>198</v>
      </c>
      <c r="D775" s="34" t="s">
        <v>155</v>
      </c>
      <c r="E775" s="34">
        <v>0</v>
      </c>
      <c r="F775" s="34">
        <v>4</v>
      </c>
      <c r="G775" s="34"/>
      <c r="H775" s="34"/>
    </row>
    <row r="776" spans="1:8" ht="15" customHeight="1" x14ac:dyDescent="0.3">
      <c r="A776" s="24" t="s">
        <v>1682</v>
      </c>
      <c r="B776" s="23" t="s">
        <v>1683</v>
      </c>
      <c r="C776" s="23" t="s">
        <v>213</v>
      </c>
      <c r="D776" s="24" t="s">
        <v>155</v>
      </c>
      <c r="E776" s="24">
        <v>0</v>
      </c>
      <c r="F776" s="24">
        <v>1</v>
      </c>
      <c r="G776" s="24"/>
      <c r="H776" s="24"/>
    </row>
    <row r="777" spans="1:8" ht="15" customHeight="1" x14ac:dyDescent="0.3">
      <c r="A777" s="34" t="s">
        <v>1684</v>
      </c>
      <c r="B777" s="35" t="s">
        <v>1685</v>
      </c>
      <c r="C777" s="35" t="s">
        <v>225</v>
      </c>
      <c r="D777" s="34" t="s">
        <v>155</v>
      </c>
      <c r="E777" s="34">
        <v>0</v>
      </c>
      <c r="F777" s="34">
        <v>2</v>
      </c>
      <c r="G777" s="34"/>
      <c r="H777" s="34"/>
    </row>
    <row r="778" spans="1:8" ht="15" customHeight="1" x14ac:dyDescent="0.3">
      <c r="A778" s="24" t="s">
        <v>1686</v>
      </c>
      <c r="B778" s="23" t="s">
        <v>1687</v>
      </c>
      <c r="C778" s="23" t="s">
        <v>833</v>
      </c>
      <c r="D778" s="24" t="s">
        <v>155</v>
      </c>
      <c r="E778" s="24">
        <v>0</v>
      </c>
      <c r="F778" s="24">
        <v>2</v>
      </c>
      <c r="G778" s="24"/>
      <c r="H778" s="24"/>
    </row>
    <row r="779" spans="1:8" ht="15" customHeight="1" x14ac:dyDescent="0.3">
      <c r="A779" s="34" t="s">
        <v>1688</v>
      </c>
      <c r="B779" s="35" t="s">
        <v>1689</v>
      </c>
      <c r="C779" s="35" t="s">
        <v>225</v>
      </c>
      <c r="D779" s="34" t="s">
        <v>155</v>
      </c>
      <c r="E779" s="34">
        <v>0</v>
      </c>
      <c r="F779" s="34">
        <v>2</v>
      </c>
      <c r="G779" s="34"/>
      <c r="H779" s="34"/>
    </row>
    <row r="780" spans="1:8" ht="15" customHeight="1" x14ac:dyDescent="0.3">
      <c r="A780" s="24" t="s">
        <v>1690</v>
      </c>
      <c r="B780" s="23" t="s">
        <v>1691</v>
      </c>
      <c r="C780" s="23" t="s">
        <v>309</v>
      </c>
      <c r="D780" s="24" t="s">
        <v>155</v>
      </c>
      <c r="E780" s="24">
        <v>0</v>
      </c>
      <c r="F780" s="24">
        <v>2</v>
      </c>
      <c r="G780" s="24"/>
      <c r="H780" s="24"/>
    </row>
    <row r="781" spans="1:8" ht="15" customHeight="1" x14ac:dyDescent="0.3">
      <c r="A781" s="34" t="s">
        <v>1692</v>
      </c>
      <c r="B781" s="35" t="s">
        <v>1693</v>
      </c>
      <c r="C781" s="35" t="s">
        <v>164</v>
      </c>
      <c r="D781" s="34" t="s">
        <v>155</v>
      </c>
      <c r="E781" s="34">
        <v>0</v>
      </c>
      <c r="F781" s="34">
        <v>1</v>
      </c>
      <c r="G781" s="34"/>
      <c r="H781" s="34"/>
    </row>
    <row r="782" spans="1:8" ht="15" customHeight="1" x14ac:dyDescent="0.3">
      <c r="A782" s="24" t="s">
        <v>1694</v>
      </c>
      <c r="B782" s="23" t="s">
        <v>1695</v>
      </c>
      <c r="C782" s="23" t="s">
        <v>188</v>
      </c>
      <c r="D782" s="24" t="s">
        <v>155</v>
      </c>
      <c r="E782" s="24">
        <v>0</v>
      </c>
      <c r="F782" s="24">
        <v>1</v>
      </c>
      <c r="G782" s="24"/>
      <c r="H782" s="24"/>
    </row>
    <row r="783" spans="1:8" ht="15" customHeight="1" x14ac:dyDescent="0.3">
      <c r="A783" s="34" t="s">
        <v>1696</v>
      </c>
      <c r="B783" s="35" t="s">
        <v>1697</v>
      </c>
      <c r="C783" s="35" t="s">
        <v>198</v>
      </c>
      <c r="D783" s="34" t="s">
        <v>155</v>
      </c>
      <c r="E783" s="34">
        <v>0</v>
      </c>
      <c r="F783" s="34">
        <v>4</v>
      </c>
      <c r="G783" s="34"/>
      <c r="H783" s="34"/>
    </row>
    <row r="784" spans="1:8" ht="15" customHeight="1" x14ac:dyDescent="0.3">
      <c r="A784" s="24" t="s">
        <v>1698</v>
      </c>
      <c r="B784" s="23" t="s">
        <v>1699</v>
      </c>
      <c r="C784" s="23" t="s">
        <v>158</v>
      </c>
      <c r="D784" s="24" t="s">
        <v>155</v>
      </c>
      <c r="E784" s="24">
        <v>0</v>
      </c>
      <c r="F784" s="24">
        <v>1</v>
      </c>
      <c r="G784" s="24"/>
      <c r="H784" s="24"/>
    </row>
    <row r="785" spans="1:8" ht="15" customHeight="1" x14ac:dyDescent="0.3">
      <c r="A785" s="34" t="s">
        <v>1700</v>
      </c>
      <c r="B785" s="35" t="s">
        <v>1701</v>
      </c>
      <c r="C785" s="35" t="s">
        <v>225</v>
      </c>
      <c r="D785" s="34" t="s">
        <v>155</v>
      </c>
      <c r="E785" s="34">
        <v>0</v>
      </c>
      <c r="F785" s="34">
        <v>1</v>
      </c>
      <c r="G785" s="34"/>
      <c r="H785" s="34"/>
    </row>
    <row r="786" spans="1:8" ht="15" customHeight="1" x14ac:dyDescent="0.3">
      <c r="A786" s="24" t="s">
        <v>1702</v>
      </c>
      <c r="B786" s="23" t="s">
        <v>1703</v>
      </c>
      <c r="C786" s="23" t="s">
        <v>309</v>
      </c>
      <c r="D786" s="24" t="s">
        <v>155</v>
      </c>
      <c r="E786" s="24">
        <v>0</v>
      </c>
      <c r="F786" s="24">
        <v>3</v>
      </c>
      <c r="G786" s="24"/>
      <c r="H786" s="24"/>
    </row>
    <row r="787" spans="1:8" ht="15" customHeight="1" x14ac:dyDescent="0.3">
      <c r="A787" s="34" t="s">
        <v>1704</v>
      </c>
      <c r="B787" s="35" t="s">
        <v>1705</v>
      </c>
      <c r="C787" s="35" t="s">
        <v>185</v>
      </c>
      <c r="D787" s="34" t="s">
        <v>155</v>
      </c>
      <c r="E787" s="34">
        <v>0</v>
      </c>
      <c r="F787" s="34">
        <v>2</v>
      </c>
      <c r="G787" s="34"/>
      <c r="H787" s="34"/>
    </row>
    <row r="788" spans="1:8" ht="15" customHeight="1" x14ac:dyDescent="0.3">
      <c r="A788" s="24" t="s">
        <v>1706</v>
      </c>
      <c r="B788" s="23" t="s">
        <v>1707</v>
      </c>
      <c r="C788" s="23" t="s">
        <v>158</v>
      </c>
      <c r="D788" s="24" t="s">
        <v>155</v>
      </c>
      <c r="E788" s="24">
        <v>13</v>
      </c>
      <c r="F788" s="24">
        <v>4</v>
      </c>
      <c r="G788" s="24"/>
      <c r="H788" s="24"/>
    </row>
    <row r="789" spans="1:8" ht="15" customHeight="1" x14ac:dyDescent="0.3">
      <c r="A789" s="34" t="s">
        <v>1708</v>
      </c>
      <c r="B789" s="35" t="s">
        <v>1709</v>
      </c>
      <c r="C789" s="35" t="s">
        <v>158</v>
      </c>
      <c r="D789" s="34" t="s">
        <v>155</v>
      </c>
      <c r="E789" s="34">
        <v>0</v>
      </c>
      <c r="F789" s="34">
        <v>2</v>
      </c>
      <c r="G789" s="34"/>
      <c r="H789" s="34"/>
    </row>
    <row r="790" spans="1:8" ht="15" customHeight="1" x14ac:dyDescent="0.3">
      <c r="A790" s="24" t="s">
        <v>1710</v>
      </c>
      <c r="B790" s="23" t="s">
        <v>1711</v>
      </c>
      <c r="C790" s="23" t="s">
        <v>185</v>
      </c>
      <c r="D790" s="24" t="s">
        <v>155</v>
      </c>
      <c r="E790" s="24">
        <v>0</v>
      </c>
      <c r="F790" s="24">
        <v>3</v>
      </c>
      <c r="G790" s="24"/>
      <c r="H790" s="24"/>
    </row>
    <row r="791" spans="1:8" ht="15" customHeight="1" x14ac:dyDescent="0.3">
      <c r="A791" s="34" t="s">
        <v>1712</v>
      </c>
      <c r="B791" s="35" t="s">
        <v>1713</v>
      </c>
      <c r="C791" s="35" t="s">
        <v>213</v>
      </c>
      <c r="D791" s="34" t="s">
        <v>155</v>
      </c>
      <c r="E791" s="34">
        <v>5</v>
      </c>
      <c r="F791" s="34">
        <v>2</v>
      </c>
      <c r="G791" s="34"/>
      <c r="H791" s="34"/>
    </row>
    <row r="792" spans="1:8" ht="15" customHeight="1" x14ac:dyDescent="0.3">
      <c r="A792" s="24" t="s">
        <v>1714</v>
      </c>
      <c r="B792" s="23" t="s">
        <v>1715</v>
      </c>
      <c r="C792" s="23" t="s">
        <v>158</v>
      </c>
      <c r="D792" s="24" t="s">
        <v>155</v>
      </c>
      <c r="E792" s="24">
        <v>0</v>
      </c>
      <c r="F792" s="24">
        <v>2</v>
      </c>
      <c r="G792" s="24"/>
      <c r="H792" s="24"/>
    </row>
    <row r="793" spans="1:8" ht="15" customHeight="1" x14ac:dyDescent="0.3">
      <c r="A793" s="34" t="s">
        <v>1716</v>
      </c>
      <c r="B793" s="35" t="s">
        <v>1717</v>
      </c>
      <c r="C793" s="35" t="s">
        <v>213</v>
      </c>
      <c r="D793" s="34" t="s">
        <v>155</v>
      </c>
      <c r="E793" s="34">
        <v>0</v>
      </c>
      <c r="F793" s="34">
        <v>1</v>
      </c>
      <c r="G793" s="34"/>
      <c r="H793" s="34"/>
    </row>
    <row r="794" spans="1:8" ht="15" customHeight="1" x14ac:dyDescent="0.3">
      <c r="A794" s="24" t="s">
        <v>1718</v>
      </c>
      <c r="B794" s="23" t="s">
        <v>1719</v>
      </c>
      <c r="C794" s="23" t="s">
        <v>158</v>
      </c>
      <c r="D794" s="24" t="s">
        <v>155</v>
      </c>
      <c r="E794" s="24">
        <v>0</v>
      </c>
      <c r="F794" s="24">
        <v>1</v>
      </c>
      <c r="G794" s="24"/>
      <c r="H794" s="24"/>
    </row>
    <row r="795" spans="1:8" ht="15" customHeight="1" x14ac:dyDescent="0.3">
      <c r="A795" s="34" t="s">
        <v>1720</v>
      </c>
      <c r="B795" s="35" t="s">
        <v>1721</v>
      </c>
      <c r="C795" s="35" t="s">
        <v>164</v>
      </c>
      <c r="D795" s="34" t="s">
        <v>155</v>
      </c>
      <c r="E795" s="34">
        <v>0</v>
      </c>
      <c r="F795" s="34">
        <v>1</v>
      </c>
      <c r="G795" s="34"/>
      <c r="H795" s="34"/>
    </row>
    <row r="796" spans="1:8" ht="15" customHeight="1" x14ac:dyDescent="0.3">
      <c r="A796" s="24" t="s">
        <v>1722</v>
      </c>
      <c r="B796" s="23" t="s">
        <v>1723</v>
      </c>
      <c r="C796" s="23" t="s">
        <v>213</v>
      </c>
      <c r="D796" s="24" t="s">
        <v>155</v>
      </c>
      <c r="E796" s="24">
        <v>0</v>
      </c>
      <c r="F796" s="24">
        <v>3</v>
      </c>
      <c r="G796" s="24"/>
      <c r="H796" s="24"/>
    </row>
    <row r="797" spans="1:8" ht="15" customHeight="1" x14ac:dyDescent="0.3">
      <c r="A797" s="34" t="s">
        <v>1724</v>
      </c>
      <c r="B797" s="35" t="s">
        <v>1725</v>
      </c>
      <c r="C797" s="35" t="s">
        <v>309</v>
      </c>
      <c r="D797" s="34" t="s">
        <v>155</v>
      </c>
      <c r="E797" s="34">
        <v>0</v>
      </c>
      <c r="F797" s="34">
        <v>1</v>
      </c>
      <c r="G797" s="34"/>
      <c r="H797" s="34"/>
    </row>
    <row r="798" spans="1:8" ht="15" customHeight="1" x14ac:dyDescent="0.3">
      <c r="A798" s="24" t="s">
        <v>1726</v>
      </c>
      <c r="B798" s="23" t="s">
        <v>1727</v>
      </c>
      <c r="C798" s="23" t="s">
        <v>164</v>
      </c>
      <c r="D798" s="24" t="s">
        <v>155</v>
      </c>
      <c r="E798" s="24">
        <v>0</v>
      </c>
      <c r="F798" s="24">
        <v>4</v>
      </c>
      <c r="G798" s="24"/>
      <c r="H798" s="24"/>
    </row>
    <row r="799" spans="1:8" ht="15" customHeight="1" x14ac:dyDescent="0.3">
      <c r="A799" s="34" t="s">
        <v>1728</v>
      </c>
      <c r="B799" s="35" t="s">
        <v>1729</v>
      </c>
      <c r="C799" s="35" t="s">
        <v>171</v>
      </c>
      <c r="D799" s="34" t="s">
        <v>155</v>
      </c>
      <c r="E799" s="34">
        <v>0</v>
      </c>
      <c r="F799" s="34">
        <v>3</v>
      </c>
      <c r="G799" s="34"/>
      <c r="H799" s="34"/>
    </row>
    <row r="800" spans="1:8" ht="15" customHeight="1" x14ac:dyDescent="0.3">
      <c r="A800" s="24" t="s">
        <v>1730</v>
      </c>
      <c r="B800" s="23" t="s">
        <v>1731</v>
      </c>
      <c r="C800" s="23" t="s">
        <v>185</v>
      </c>
      <c r="D800" s="24" t="s">
        <v>155</v>
      </c>
      <c r="E800" s="24">
        <v>0</v>
      </c>
      <c r="F800" s="24">
        <v>1</v>
      </c>
      <c r="G800" s="24"/>
      <c r="H800" s="24"/>
    </row>
    <row r="801" spans="1:8" ht="15" customHeight="1" x14ac:dyDescent="0.3">
      <c r="A801" s="34" t="s">
        <v>1732</v>
      </c>
      <c r="B801" s="35" t="s">
        <v>1733</v>
      </c>
      <c r="C801" s="35" t="s">
        <v>158</v>
      </c>
      <c r="D801" s="34" t="s">
        <v>155</v>
      </c>
      <c r="E801" s="34">
        <v>0</v>
      </c>
      <c r="F801" s="34">
        <v>1</v>
      </c>
      <c r="G801" s="34"/>
      <c r="H801" s="34"/>
    </row>
    <row r="802" spans="1:8" ht="15" customHeight="1" x14ac:dyDescent="0.3">
      <c r="A802" s="24" t="s">
        <v>1734</v>
      </c>
      <c r="B802" s="23" t="s">
        <v>1735</v>
      </c>
      <c r="C802" s="23" t="s">
        <v>213</v>
      </c>
      <c r="D802" s="24" t="s">
        <v>155</v>
      </c>
      <c r="E802" s="24">
        <v>0</v>
      </c>
      <c r="F802" s="24">
        <v>1</v>
      </c>
      <c r="G802" s="24"/>
      <c r="H802" s="24"/>
    </row>
    <row r="803" spans="1:8" ht="15" customHeight="1" x14ac:dyDescent="0.3">
      <c r="A803" s="34" t="s">
        <v>1736</v>
      </c>
      <c r="B803" s="35" t="s">
        <v>1737</v>
      </c>
      <c r="C803" s="35" t="s">
        <v>216</v>
      </c>
      <c r="D803" s="34" t="s">
        <v>155</v>
      </c>
      <c r="E803" s="34">
        <v>0</v>
      </c>
      <c r="F803" s="34">
        <v>1</v>
      </c>
      <c r="G803" s="34"/>
      <c r="H803" s="34"/>
    </row>
    <row r="804" spans="1:8" ht="15" customHeight="1" x14ac:dyDescent="0.3">
      <c r="A804" s="24" t="s">
        <v>1738</v>
      </c>
      <c r="B804" s="23" t="s">
        <v>1739</v>
      </c>
      <c r="C804" s="23" t="s">
        <v>158</v>
      </c>
      <c r="D804" s="24" t="s">
        <v>155</v>
      </c>
      <c r="E804" s="24">
        <v>0</v>
      </c>
      <c r="F804" s="24">
        <v>2</v>
      </c>
      <c r="G804" s="24"/>
      <c r="H804" s="24"/>
    </row>
    <row r="805" spans="1:8" ht="15" customHeight="1" x14ac:dyDescent="0.3">
      <c r="A805" s="34" t="s">
        <v>1740</v>
      </c>
      <c r="B805" s="35" t="s">
        <v>1741</v>
      </c>
      <c r="C805" s="35" t="s">
        <v>154</v>
      </c>
      <c r="D805" s="34" t="s">
        <v>155</v>
      </c>
      <c r="E805" s="34">
        <v>0</v>
      </c>
      <c r="F805" s="34">
        <v>2</v>
      </c>
      <c r="G805" s="34"/>
      <c r="H805" s="34"/>
    </row>
    <row r="806" spans="1:8" ht="15" customHeight="1" x14ac:dyDescent="0.3">
      <c r="A806" s="24" t="s">
        <v>1742</v>
      </c>
      <c r="B806" s="23" t="s">
        <v>1743</v>
      </c>
      <c r="C806" s="23" t="s">
        <v>171</v>
      </c>
      <c r="D806" s="24" t="s">
        <v>155</v>
      </c>
      <c r="E806" s="24">
        <v>0</v>
      </c>
      <c r="F806" s="24">
        <v>3</v>
      </c>
      <c r="G806" s="24"/>
      <c r="H806" s="24"/>
    </row>
    <row r="807" spans="1:8" ht="15" customHeight="1" x14ac:dyDescent="0.3">
      <c r="A807" s="34" t="s">
        <v>1744</v>
      </c>
      <c r="B807" s="35" t="s">
        <v>1745</v>
      </c>
      <c r="C807" s="35" t="s">
        <v>213</v>
      </c>
      <c r="D807" s="34" t="s">
        <v>155</v>
      </c>
      <c r="E807" s="34">
        <v>0</v>
      </c>
      <c r="F807" s="34">
        <v>1</v>
      </c>
      <c r="G807" s="34"/>
      <c r="H807" s="34"/>
    </row>
    <row r="808" spans="1:8" ht="15" customHeight="1" x14ac:dyDescent="0.3">
      <c r="A808" s="24" t="s">
        <v>1746</v>
      </c>
      <c r="B808" s="23" t="s">
        <v>1747</v>
      </c>
      <c r="C808" s="23" t="s">
        <v>164</v>
      </c>
      <c r="D808" s="24" t="s">
        <v>155</v>
      </c>
      <c r="E808" s="24">
        <v>0</v>
      </c>
      <c r="F808" s="24">
        <v>3</v>
      </c>
      <c r="G808" s="24"/>
      <c r="H808" s="24"/>
    </row>
    <row r="809" spans="1:8" ht="15" customHeight="1" x14ac:dyDescent="0.3">
      <c r="A809" s="34" t="s">
        <v>1748</v>
      </c>
      <c r="B809" s="35" t="s">
        <v>1749</v>
      </c>
      <c r="C809" s="35" t="s">
        <v>164</v>
      </c>
      <c r="D809" s="34" t="s">
        <v>155</v>
      </c>
      <c r="E809" s="34">
        <v>0</v>
      </c>
      <c r="F809" s="34">
        <v>2</v>
      </c>
      <c r="G809" s="34"/>
      <c r="H809" s="34"/>
    </row>
    <row r="810" spans="1:8" ht="15" customHeight="1" x14ac:dyDescent="0.3">
      <c r="A810" s="24" t="s">
        <v>1750</v>
      </c>
      <c r="B810" s="23" t="s">
        <v>1751</v>
      </c>
      <c r="C810" s="23" t="s">
        <v>213</v>
      </c>
      <c r="D810" s="24" t="s">
        <v>155</v>
      </c>
      <c r="E810" s="24">
        <v>0</v>
      </c>
      <c r="F810" s="24">
        <v>2</v>
      </c>
      <c r="G810" s="24"/>
      <c r="H810" s="24"/>
    </row>
    <row r="811" spans="1:8" ht="15" customHeight="1" x14ac:dyDescent="0.3">
      <c r="A811" s="34" t="s">
        <v>1752</v>
      </c>
      <c r="B811" s="35" t="s">
        <v>1753</v>
      </c>
      <c r="C811" s="35" t="s">
        <v>158</v>
      </c>
      <c r="D811" s="34" t="s">
        <v>155</v>
      </c>
      <c r="E811" s="34">
        <v>1</v>
      </c>
      <c r="F811" s="34">
        <v>4</v>
      </c>
      <c r="G811" s="34"/>
      <c r="H811" s="34"/>
    </row>
    <row r="812" spans="1:8" ht="15" customHeight="1" x14ac:dyDescent="0.3">
      <c r="A812" s="24" t="s">
        <v>1754</v>
      </c>
      <c r="B812" s="23" t="s">
        <v>1755</v>
      </c>
      <c r="C812" s="23" t="s">
        <v>589</v>
      </c>
      <c r="D812" s="24" t="s">
        <v>155</v>
      </c>
      <c r="E812" s="24">
        <v>0</v>
      </c>
      <c r="F812" s="24">
        <v>1</v>
      </c>
      <c r="G812" s="24"/>
      <c r="H812" s="24"/>
    </row>
    <row r="813" spans="1:8" ht="15" customHeight="1" x14ac:dyDescent="0.3">
      <c r="A813" s="34" t="s">
        <v>1756</v>
      </c>
      <c r="B813" s="35" t="s">
        <v>1757</v>
      </c>
      <c r="C813" s="35" t="s">
        <v>171</v>
      </c>
      <c r="D813" s="34" t="s">
        <v>155</v>
      </c>
      <c r="E813" s="34">
        <v>0</v>
      </c>
      <c r="F813" s="34">
        <v>1</v>
      </c>
      <c r="G813" s="34"/>
      <c r="H813" s="34"/>
    </row>
    <row r="814" spans="1:8" ht="15" customHeight="1" x14ac:dyDescent="0.3">
      <c r="A814" s="24" t="s">
        <v>1758</v>
      </c>
      <c r="B814" s="23" t="s">
        <v>1759</v>
      </c>
      <c r="C814" s="23" t="s">
        <v>154</v>
      </c>
      <c r="D814" s="24" t="s">
        <v>155</v>
      </c>
      <c r="E814" s="24">
        <v>0</v>
      </c>
      <c r="F814" s="24">
        <v>1</v>
      </c>
      <c r="G814" s="24"/>
      <c r="H814" s="24"/>
    </row>
    <row r="815" spans="1:8" ht="15" customHeight="1" x14ac:dyDescent="0.3">
      <c r="A815" s="34" t="s">
        <v>1760</v>
      </c>
      <c r="B815" s="35" t="s">
        <v>1761</v>
      </c>
      <c r="C815" s="35" t="s">
        <v>416</v>
      </c>
      <c r="D815" s="34" t="s">
        <v>155</v>
      </c>
      <c r="E815" s="34">
        <v>0</v>
      </c>
      <c r="F815" s="34">
        <v>2</v>
      </c>
      <c r="G815" s="34"/>
      <c r="H815" s="34"/>
    </row>
    <row r="816" spans="1:8" ht="15" customHeight="1" x14ac:dyDescent="0.3">
      <c r="A816" s="24" t="s">
        <v>1762</v>
      </c>
      <c r="B816" s="23" t="s">
        <v>1763</v>
      </c>
      <c r="C816" s="23" t="s">
        <v>213</v>
      </c>
      <c r="D816" s="24" t="s">
        <v>155</v>
      </c>
      <c r="E816" s="24">
        <v>0</v>
      </c>
      <c r="F816" s="24">
        <v>2</v>
      </c>
      <c r="G816" s="24"/>
      <c r="H816" s="24"/>
    </row>
    <row r="817" spans="1:8" ht="15" customHeight="1" x14ac:dyDescent="0.3">
      <c r="A817" s="34" t="s">
        <v>1764</v>
      </c>
      <c r="B817" s="35" t="s">
        <v>1765</v>
      </c>
      <c r="C817" s="35" t="s">
        <v>158</v>
      </c>
      <c r="D817" s="34" t="s">
        <v>155</v>
      </c>
      <c r="E817" s="34">
        <v>0</v>
      </c>
      <c r="F817" s="34">
        <v>1</v>
      </c>
      <c r="G817" s="34"/>
      <c r="H817" s="34"/>
    </row>
    <row r="818" spans="1:8" ht="15" customHeight="1" x14ac:dyDescent="0.3">
      <c r="A818" s="24" t="s">
        <v>1766</v>
      </c>
      <c r="B818" s="23" t="s">
        <v>1767</v>
      </c>
      <c r="C818" s="23" t="s">
        <v>309</v>
      </c>
      <c r="D818" s="24" t="s">
        <v>155</v>
      </c>
      <c r="E818" s="24">
        <v>0</v>
      </c>
      <c r="F818" s="24">
        <v>2</v>
      </c>
      <c r="G818" s="24"/>
      <c r="H818" s="24"/>
    </row>
    <row r="819" spans="1:8" ht="15" customHeight="1" x14ac:dyDescent="0.3">
      <c r="A819" s="34" t="s">
        <v>1768</v>
      </c>
      <c r="B819" s="35" t="s">
        <v>1769</v>
      </c>
      <c r="C819" s="35" t="s">
        <v>158</v>
      </c>
      <c r="D819" s="34" t="s">
        <v>155</v>
      </c>
      <c r="E819" s="34">
        <v>1</v>
      </c>
      <c r="F819" s="34">
        <v>4</v>
      </c>
      <c r="G819" s="34"/>
      <c r="H819" s="34"/>
    </row>
    <row r="820" spans="1:8" ht="15" customHeight="1" x14ac:dyDescent="0.3">
      <c r="A820" s="24" t="s">
        <v>1770</v>
      </c>
      <c r="B820" s="23" t="s">
        <v>1771</v>
      </c>
      <c r="C820" s="23" t="s">
        <v>589</v>
      </c>
      <c r="D820" s="24" t="s">
        <v>155</v>
      </c>
      <c r="E820" s="24">
        <v>0</v>
      </c>
      <c r="F820" s="24">
        <v>2</v>
      </c>
      <c r="G820" s="24"/>
      <c r="H820" s="24"/>
    </row>
    <row r="821" spans="1:8" ht="15" customHeight="1" x14ac:dyDescent="0.3">
      <c r="A821" s="34" t="s">
        <v>1772</v>
      </c>
      <c r="B821" s="35" t="s">
        <v>1773</v>
      </c>
      <c r="C821" s="35" t="s">
        <v>309</v>
      </c>
      <c r="D821" s="34" t="s">
        <v>155</v>
      </c>
      <c r="E821" s="34">
        <v>0</v>
      </c>
      <c r="F821" s="34">
        <v>2</v>
      </c>
      <c r="G821" s="34"/>
      <c r="H821" s="34"/>
    </row>
    <row r="822" spans="1:8" ht="15" customHeight="1" x14ac:dyDescent="0.3">
      <c r="A822" s="24" t="s">
        <v>1774</v>
      </c>
      <c r="B822" s="23" t="s">
        <v>1775</v>
      </c>
      <c r="C822" s="23" t="s">
        <v>309</v>
      </c>
      <c r="D822" s="24" t="s">
        <v>155</v>
      </c>
      <c r="E822" s="24">
        <v>0</v>
      </c>
      <c r="F822" s="24">
        <v>2</v>
      </c>
      <c r="G822" s="24"/>
      <c r="H822" s="24"/>
    </row>
    <row r="823" spans="1:8" ht="15" customHeight="1" x14ac:dyDescent="0.3">
      <c r="A823" s="34" t="s">
        <v>1776</v>
      </c>
      <c r="B823" s="35" t="s">
        <v>1777</v>
      </c>
      <c r="C823" s="35" t="s">
        <v>198</v>
      </c>
      <c r="D823" s="34" t="s">
        <v>155</v>
      </c>
      <c r="E823" s="34">
        <v>0</v>
      </c>
      <c r="F823" s="34">
        <v>3</v>
      </c>
      <c r="G823" s="34"/>
      <c r="H823" s="34"/>
    </row>
    <row r="824" spans="1:8" ht="15" customHeight="1" x14ac:dyDescent="0.3">
      <c r="A824" s="24" t="s">
        <v>1778</v>
      </c>
      <c r="B824" s="23" t="s">
        <v>1779</v>
      </c>
      <c r="C824" s="23" t="s">
        <v>225</v>
      </c>
      <c r="D824" s="24" t="s">
        <v>155</v>
      </c>
      <c r="E824" s="24">
        <v>0</v>
      </c>
      <c r="F824" s="24">
        <v>1</v>
      </c>
      <c r="G824" s="24"/>
      <c r="H824" s="24"/>
    </row>
    <row r="825" spans="1:8" ht="15" customHeight="1" x14ac:dyDescent="0.3">
      <c r="A825" s="34" t="s">
        <v>1780</v>
      </c>
      <c r="B825" s="35" t="s">
        <v>1781</v>
      </c>
      <c r="C825" s="35" t="s">
        <v>158</v>
      </c>
      <c r="D825" s="34" t="s">
        <v>155</v>
      </c>
      <c r="E825" s="34">
        <v>0</v>
      </c>
      <c r="F825" s="34">
        <v>2</v>
      </c>
      <c r="G825" s="34"/>
      <c r="H825" s="34"/>
    </row>
    <row r="826" spans="1:8" ht="15" customHeight="1" x14ac:dyDescent="0.3">
      <c r="A826" s="24" t="s">
        <v>1782</v>
      </c>
      <c r="B826" s="23" t="s">
        <v>1783</v>
      </c>
      <c r="C826" s="23" t="s">
        <v>154</v>
      </c>
      <c r="D826" s="24" t="s">
        <v>155</v>
      </c>
      <c r="E826" s="24">
        <v>0</v>
      </c>
      <c r="F826" s="24">
        <v>1</v>
      </c>
      <c r="G826" s="24"/>
      <c r="H826" s="24"/>
    </row>
    <row r="827" spans="1:8" ht="15" customHeight="1" x14ac:dyDescent="0.3">
      <c r="A827" s="34" t="s">
        <v>1784</v>
      </c>
      <c r="B827" s="35" t="s">
        <v>1785</v>
      </c>
      <c r="C827" s="35" t="s">
        <v>158</v>
      </c>
      <c r="D827" s="34" t="s">
        <v>155</v>
      </c>
      <c r="E827" s="34">
        <v>0</v>
      </c>
      <c r="F827" s="34">
        <v>1</v>
      </c>
      <c r="G827" s="34"/>
      <c r="H827" s="34"/>
    </row>
    <row r="828" spans="1:8" ht="15" customHeight="1" x14ac:dyDescent="0.3">
      <c r="A828" s="24" t="s">
        <v>1786</v>
      </c>
      <c r="B828" s="23" t="s">
        <v>1787</v>
      </c>
      <c r="C828" s="23" t="s">
        <v>225</v>
      </c>
      <c r="D828" s="24" t="s">
        <v>155</v>
      </c>
      <c r="E828" s="24">
        <v>2</v>
      </c>
      <c r="F828" s="24">
        <v>2</v>
      </c>
      <c r="G828" s="24"/>
      <c r="H828" s="24"/>
    </row>
    <row r="829" spans="1:8" ht="15" customHeight="1" x14ac:dyDescent="0.3">
      <c r="A829" s="34" t="s">
        <v>1788</v>
      </c>
      <c r="B829" s="35" t="s">
        <v>1789</v>
      </c>
      <c r="C829" s="35" t="s">
        <v>589</v>
      </c>
      <c r="D829" s="34" t="s">
        <v>155</v>
      </c>
      <c r="E829" s="34">
        <v>10</v>
      </c>
      <c r="F829" s="34">
        <v>5</v>
      </c>
      <c r="G829" s="34"/>
      <c r="H829" s="34"/>
    </row>
    <row r="830" spans="1:8" ht="15" customHeight="1" x14ac:dyDescent="0.3">
      <c r="A830" s="24" t="s">
        <v>1790</v>
      </c>
      <c r="B830" s="23" t="s">
        <v>1791</v>
      </c>
      <c r="C830" s="23" t="s">
        <v>213</v>
      </c>
      <c r="D830" s="24" t="s">
        <v>155</v>
      </c>
      <c r="E830" s="24">
        <v>0</v>
      </c>
      <c r="F830" s="24">
        <v>1</v>
      </c>
      <c r="G830" s="24"/>
      <c r="H830" s="24"/>
    </row>
    <row r="831" spans="1:8" ht="15" customHeight="1" x14ac:dyDescent="0.3">
      <c r="A831" s="34" t="s">
        <v>1792</v>
      </c>
      <c r="B831" s="35" t="s">
        <v>1793</v>
      </c>
      <c r="C831" s="35" t="s">
        <v>213</v>
      </c>
      <c r="D831" s="34" t="s">
        <v>155</v>
      </c>
      <c r="E831" s="34">
        <v>0</v>
      </c>
      <c r="F831" s="34">
        <v>2</v>
      </c>
      <c r="G831" s="34"/>
      <c r="H831" s="34"/>
    </row>
    <row r="832" spans="1:8" ht="15" customHeight="1" x14ac:dyDescent="0.3">
      <c r="A832" s="24" t="s">
        <v>1794</v>
      </c>
      <c r="B832" s="23" t="s">
        <v>1795</v>
      </c>
      <c r="C832" s="23" t="s">
        <v>198</v>
      </c>
      <c r="D832" s="24" t="s">
        <v>155</v>
      </c>
      <c r="E832" s="24">
        <v>0</v>
      </c>
      <c r="F832" s="24">
        <v>4</v>
      </c>
      <c r="G832" s="24"/>
      <c r="H832" s="24"/>
    </row>
    <row r="833" spans="1:8" ht="15" customHeight="1" x14ac:dyDescent="0.3">
      <c r="A833" s="34" t="s">
        <v>1796</v>
      </c>
      <c r="B833" s="35" t="s">
        <v>1797</v>
      </c>
      <c r="C833" s="35" t="s">
        <v>213</v>
      </c>
      <c r="D833" s="34" t="s">
        <v>155</v>
      </c>
      <c r="E833" s="34">
        <v>0</v>
      </c>
      <c r="F833" s="34">
        <v>2</v>
      </c>
      <c r="G833" s="34"/>
      <c r="H833" s="34"/>
    </row>
    <row r="834" spans="1:8" ht="15" customHeight="1" x14ac:dyDescent="0.3">
      <c r="A834" s="24" t="s">
        <v>1798</v>
      </c>
      <c r="B834" s="23" t="s">
        <v>1799</v>
      </c>
      <c r="C834" s="23" t="s">
        <v>171</v>
      </c>
      <c r="D834" s="24" t="s">
        <v>155</v>
      </c>
      <c r="E834" s="24">
        <v>0</v>
      </c>
      <c r="F834" s="24">
        <v>3</v>
      </c>
      <c r="G834" s="24"/>
      <c r="H834" s="24"/>
    </row>
    <row r="835" spans="1:8" ht="15" customHeight="1" x14ac:dyDescent="0.3">
      <c r="A835" s="34" t="s">
        <v>1800</v>
      </c>
      <c r="B835" s="35" t="s">
        <v>1801</v>
      </c>
      <c r="C835" s="35" t="s">
        <v>188</v>
      </c>
      <c r="D835" s="34" t="s">
        <v>155</v>
      </c>
      <c r="E835" s="34">
        <v>0</v>
      </c>
      <c r="F835" s="34">
        <v>1</v>
      </c>
      <c r="G835" s="34"/>
      <c r="H835" s="34"/>
    </row>
    <row r="836" spans="1:8" ht="15" customHeight="1" x14ac:dyDescent="0.3">
      <c r="A836" s="24" t="s">
        <v>1802</v>
      </c>
      <c r="B836" s="23" t="s">
        <v>1803</v>
      </c>
      <c r="C836" s="23" t="s">
        <v>164</v>
      </c>
      <c r="D836" s="24" t="s">
        <v>155</v>
      </c>
      <c r="E836" s="24">
        <v>0</v>
      </c>
      <c r="F836" s="24">
        <v>1</v>
      </c>
      <c r="G836" s="24"/>
      <c r="H836" s="24"/>
    </row>
    <row r="837" spans="1:8" ht="15" customHeight="1" x14ac:dyDescent="0.3">
      <c r="A837" s="34" t="s">
        <v>1804</v>
      </c>
      <c r="B837" s="35" t="s">
        <v>1805</v>
      </c>
      <c r="C837" s="35" t="s">
        <v>225</v>
      </c>
      <c r="D837" s="34" t="s">
        <v>155</v>
      </c>
      <c r="E837" s="34">
        <v>0</v>
      </c>
      <c r="F837" s="34">
        <v>1</v>
      </c>
      <c r="G837" s="34"/>
      <c r="H837" s="34"/>
    </row>
    <row r="838" spans="1:8" ht="15" customHeight="1" x14ac:dyDescent="0.3">
      <c r="A838" s="24" t="s">
        <v>1806</v>
      </c>
      <c r="B838" s="23" t="s">
        <v>1807</v>
      </c>
      <c r="C838" s="23" t="s">
        <v>309</v>
      </c>
      <c r="D838" s="24" t="s">
        <v>155</v>
      </c>
      <c r="E838" s="24">
        <v>0</v>
      </c>
      <c r="F838" s="24">
        <v>2</v>
      </c>
      <c r="G838" s="24"/>
      <c r="H838" s="24"/>
    </row>
    <row r="839" spans="1:8" ht="15" customHeight="1" x14ac:dyDescent="0.3">
      <c r="A839" s="34" t="s">
        <v>1808</v>
      </c>
      <c r="B839" s="35" t="s">
        <v>1809</v>
      </c>
      <c r="C839" s="35" t="s">
        <v>216</v>
      </c>
      <c r="D839" s="34" t="s">
        <v>155</v>
      </c>
      <c r="E839" s="34">
        <v>0</v>
      </c>
      <c r="F839" s="34">
        <v>1</v>
      </c>
      <c r="G839" s="34"/>
      <c r="H839" s="34"/>
    </row>
    <row r="840" spans="1:8" ht="15" customHeight="1" x14ac:dyDescent="0.3">
      <c r="A840" s="24" t="s">
        <v>1810</v>
      </c>
      <c r="B840" s="23" t="s">
        <v>1811</v>
      </c>
      <c r="C840" s="23" t="s">
        <v>561</v>
      </c>
      <c r="D840" s="24" t="s">
        <v>155</v>
      </c>
      <c r="E840" s="24">
        <v>0</v>
      </c>
      <c r="F840" s="24">
        <v>1</v>
      </c>
      <c r="G840" s="24"/>
      <c r="H840" s="24"/>
    </row>
    <row r="841" spans="1:8" ht="15" customHeight="1" x14ac:dyDescent="0.3">
      <c r="A841" s="34" t="s">
        <v>1812</v>
      </c>
      <c r="B841" s="35" t="s">
        <v>1813</v>
      </c>
      <c r="C841" s="35" t="s">
        <v>213</v>
      </c>
      <c r="D841" s="34" t="s">
        <v>155</v>
      </c>
      <c r="E841" s="34">
        <v>0</v>
      </c>
      <c r="F841" s="34">
        <v>2</v>
      </c>
      <c r="G841" s="34"/>
      <c r="H841" s="34"/>
    </row>
    <row r="842" spans="1:8" ht="15" customHeight="1" x14ac:dyDescent="0.3">
      <c r="A842" s="24" t="s">
        <v>1814</v>
      </c>
      <c r="B842" s="23" t="s">
        <v>1815</v>
      </c>
      <c r="C842" s="23" t="s">
        <v>171</v>
      </c>
      <c r="D842" s="24" t="s">
        <v>155</v>
      </c>
      <c r="E842" s="24">
        <v>0</v>
      </c>
      <c r="F842" s="24">
        <v>2</v>
      </c>
      <c r="G842" s="24"/>
      <c r="H842" s="24"/>
    </row>
    <row r="843" spans="1:8" ht="15" customHeight="1" x14ac:dyDescent="0.3">
      <c r="A843" s="34" t="s">
        <v>1816</v>
      </c>
      <c r="B843" s="35" t="s">
        <v>1817</v>
      </c>
      <c r="C843" s="35" t="s">
        <v>164</v>
      </c>
      <c r="D843" s="34" t="s">
        <v>155</v>
      </c>
      <c r="E843" s="34">
        <v>0</v>
      </c>
      <c r="F843" s="34">
        <v>2</v>
      </c>
      <c r="G843" s="34"/>
      <c r="H843" s="34"/>
    </row>
    <row r="844" spans="1:8" ht="15" customHeight="1" x14ac:dyDescent="0.3">
      <c r="A844" s="24" t="s">
        <v>1818</v>
      </c>
      <c r="B844" s="23" t="s">
        <v>1819</v>
      </c>
      <c r="C844" s="23" t="s">
        <v>164</v>
      </c>
      <c r="D844" s="24" t="s">
        <v>155</v>
      </c>
      <c r="E844" s="24">
        <v>0</v>
      </c>
      <c r="F844" s="24">
        <v>1</v>
      </c>
      <c r="G844" s="24"/>
      <c r="H844" s="24"/>
    </row>
    <row r="845" spans="1:8" ht="15" customHeight="1" x14ac:dyDescent="0.3">
      <c r="A845" s="34" t="s">
        <v>1820</v>
      </c>
      <c r="B845" s="35" t="s">
        <v>1821</v>
      </c>
      <c r="C845" s="35" t="s">
        <v>198</v>
      </c>
      <c r="D845" s="34" t="s">
        <v>155</v>
      </c>
      <c r="E845" s="34">
        <v>0</v>
      </c>
      <c r="F845" s="34">
        <v>2</v>
      </c>
      <c r="G845" s="34"/>
      <c r="H845" s="34"/>
    </row>
    <row r="846" spans="1:8" ht="15" customHeight="1" x14ac:dyDescent="0.3">
      <c r="A846" s="24" t="s">
        <v>1822</v>
      </c>
      <c r="B846" s="23" t="s">
        <v>1823</v>
      </c>
      <c r="C846" s="23" t="s">
        <v>164</v>
      </c>
      <c r="D846" s="24" t="s">
        <v>155</v>
      </c>
      <c r="E846" s="24">
        <v>0</v>
      </c>
      <c r="F846" s="24">
        <v>3</v>
      </c>
      <c r="G846" s="24"/>
      <c r="H846" s="24"/>
    </row>
    <row r="847" spans="1:8" ht="15" customHeight="1" x14ac:dyDescent="0.3">
      <c r="A847" s="34" t="s">
        <v>1824</v>
      </c>
      <c r="B847" s="35" t="s">
        <v>1825</v>
      </c>
      <c r="C847" s="35" t="s">
        <v>171</v>
      </c>
      <c r="D847" s="34" t="s">
        <v>155</v>
      </c>
      <c r="E847" s="34">
        <v>0</v>
      </c>
      <c r="F847" s="34">
        <v>2</v>
      </c>
      <c r="G847" s="34"/>
      <c r="H847" s="34"/>
    </row>
    <row r="848" spans="1:8" ht="15" customHeight="1" x14ac:dyDescent="0.3">
      <c r="A848" s="24" t="s">
        <v>1826</v>
      </c>
      <c r="B848" s="23" t="s">
        <v>1827</v>
      </c>
      <c r="C848" s="23" t="s">
        <v>164</v>
      </c>
      <c r="D848" s="24" t="s">
        <v>155</v>
      </c>
      <c r="E848" s="24">
        <v>0</v>
      </c>
      <c r="F848" s="24">
        <v>3</v>
      </c>
      <c r="G848" s="24"/>
      <c r="H848" s="24"/>
    </row>
    <row r="849" spans="1:8" ht="15" customHeight="1" x14ac:dyDescent="0.3">
      <c r="A849" s="34" t="s">
        <v>1828</v>
      </c>
      <c r="B849" s="35" t="s">
        <v>1829</v>
      </c>
      <c r="C849" s="35" t="s">
        <v>225</v>
      </c>
      <c r="D849" s="34" t="s">
        <v>155</v>
      </c>
      <c r="E849" s="34">
        <v>0</v>
      </c>
      <c r="F849" s="34">
        <v>1</v>
      </c>
      <c r="G849" s="34"/>
      <c r="H849" s="34"/>
    </row>
    <row r="850" spans="1:8" ht="15" customHeight="1" x14ac:dyDescent="0.3">
      <c r="A850" s="24" t="s">
        <v>1830</v>
      </c>
      <c r="B850" s="23" t="s">
        <v>1831</v>
      </c>
      <c r="C850" s="23" t="s">
        <v>309</v>
      </c>
      <c r="D850" s="24" t="s">
        <v>155</v>
      </c>
      <c r="E850" s="24">
        <v>0</v>
      </c>
      <c r="F850" s="24">
        <v>2</v>
      </c>
      <c r="G850" s="24"/>
      <c r="H850" s="24"/>
    </row>
    <row r="851" spans="1:8" ht="15" customHeight="1" x14ac:dyDescent="0.3">
      <c r="A851" s="34" t="s">
        <v>1832</v>
      </c>
      <c r="B851" s="35" t="s">
        <v>1833</v>
      </c>
      <c r="C851" s="35" t="s">
        <v>158</v>
      </c>
      <c r="D851" s="34" t="s">
        <v>155</v>
      </c>
      <c r="E851" s="34">
        <v>0</v>
      </c>
      <c r="F851" s="34">
        <v>2</v>
      </c>
      <c r="G851" s="34"/>
      <c r="H851" s="34"/>
    </row>
    <row r="852" spans="1:8" ht="15" customHeight="1" x14ac:dyDescent="0.3">
      <c r="A852" s="24" t="s">
        <v>1834</v>
      </c>
      <c r="B852" s="23" t="s">
        <v>1835</v>
      </c>
      <c r="C852" s="23" t="s">
        <v>213</v>
      </c>
      <c r="D852" s="24" t="s">
        <v>155</v>
      </c>
      <c r="E852" s="24">
        <v>0</v>
      </c>
      <c r="F852" s="24">
        <v>1</v>
      </c>
      <c r="G852" s="24"/>
      <c r="H852" s="24"/>
    </row>
    <row r="853" spans="1:8" ht="15" customHeight="1" x14ac:dyDescent="0.3">
      <c r="A853" s="34" t="s">
        <v>1836</v>
      </c>
      <c r="B853" s="35" t="s">
        <v>1837</v>
      </c>
      <c r="C853" s="35" t="s">
        <v>198</v>
      </c>
      <c r="D853" s="34" t="s">
        <v>155</v>
      </c>
      <c r="E853" s="34">
        <v>0</v>
      </c>
      <c r="F853" s="34">
        <v>3</v>
      </c>
      <c r="G853" s="34"/>
      <c r="H853" s="34"/>
    </row>
    <row r="854" spans="1:8" ht="15" customHeight="1" x14ac:dyDescent="0.3">
      <c r="A854" s="24" t="s">
        <v>1838</v>
      </c>
      <c r="B854" s="23" t="s">
        <v>1839</v>
      </c>
      <c r="C854" s="23" t="s">
        <v>164</v>
      </c>
      <c r="D854" s="24" t="s">
        <v>155</v>
      </c>
      <c r="E854" s="24">
        <v>0</v>
      </c>
      <c r="F854" s="24">
        <v>2</v>
      </c>
      <c r="G854" s="24"/>
      <c r="H854" s="24"/>
    </row>
    <row r="855" spans="1:8" ht="15" customHeight="1" x14ac:dyDescent="0.3">
      <c r="A855" s="34" t="s">
        <v>1840</v>
      </c>
      <c r="B855" s="35" t="s">
        <v>1841</v>
      </c>
      <c r="C855" s="35" t="s">
        <v>225</v>
      </c>
      <c r="D855" s="34" t="s">
        <v>155</v>
      </c>
      <c r="E855" s="34">
        <v>0</v>
      </c>
      <c r="F855" s="34">
        <v>2</v>
      </c>
      <c r="G855" s="34"/>
      <c r="H855" s="34"/>
    </row>
    <row r="856" spans="1:8" ht="15" customHeight="1" x14ac:dyDescent="0.3">
      <c r="A856" s="24" t="s">
        <v>1842</v>
      </c>
      <c r="B856" s="23" t="s">
        <v>1843</v>
      </c>
      <c r="C856" s="23" t="s">
        <v>158</v>
      </c>
      <c r="D856" s="24" t="s">
        <v>155</v>
      </c>
      <c r="E856" s="24">
        <v>0</v>
      </c>
      <c r="F856" s="24">
        <v>2</v>
      </c>
      <c r="G856" s="24"/>
      <c r="H856" s="24"/>
    </row>
    <row r="857" spans="1:8" ht="15" customHeight="1" x14ac:dyDescent="0.3">
      <c r="A857" s="34" t="s">
        <v>1844</v>
      </c>
      <c r="B857" s="35" t="s">
        <v>1845</v>
      </c>
      <c r="C857" s="35" t="s">
        <v>164</v>
      </c>
      <c r="D857" s="34" t="s">
        <v>155</v>
      </c>
      <c r="E857" s="34">
        <v>0</v>
      </c>
      <c r="F857" s="34">
        <v>1</v>
      </c>
      <c r="G857" s="34"/>
      <c r="H857" s="34"/>
    </row>
    <row r="858" spans="1:8" ht="15" customHeight="1" x14ac:dyDescent="0.3">
      <c r="A858" s="24" t="s">
        <v>1846</v>
      </c>
      <c r="B858" s="23" t="s">
        <v>1847</v>
      </c>
      <c r="C858" s="23" t="s">
        <v>309</v>
      </c>
      <c r="D858" s="24" t="s">
        <v>155</v>
      </c>
      <c r="E858" s="24">
        <v>0</v>
      </c>
      <c r="F858" s="24">
        <v>2</v>
      </c>
      <c r="G858" s="24"/>
      <c r="H858" s="24"/>
    </row>
    <row r="859" spans="1:8" ht="15" customHeight="1" x14ac:dyDescent="0.3">
      <c r="A859" s="34" t="s">
        <v>1848</v>
      </c>
      <c r="B859" s="35" t="s">
        <v>1849</v>
      </c>
      <c r="C859" s="35" t="s">
        <v>213</v>
      </c>
      <c r="D859" s="34" t="s">
        <v>155</v>
      </c>
      <c r="E859" s="34">
        <v>0</v>
      </c>
      <c r="F859" s="34">
        <v>9</v>
      </c>
      <c r="G859" s="34"/>
      <c r="H859" s="34"/>
    </row>
    <row r="860" spans="1:8" ht="15" customHeight="1" x14ac:dyDescent="0.3">
      <c r="A860" s="24" t="s">
        <v>1850</v>
      </c>
      <c r="B860" s="23" t="s">
        <v>1851</v>
      </c>
      <c r="C860" s="23" t="s">
        <v>213</v>
      </c>
      <c r="D860" s="24" t="s">
        <v>155</v>
      </c>
      <c r="E860" s="24">
        <v>0</v>
      </c>
      <c r="F860" s="24">
        <v>3</v>
      </c>
      <c r="G860" s="24"/>
      <c r="H860" s="24"/>
    </row>
    <row r="861" spans="1:8" ht="15" customHeight="1" x14ac:dyDescent="0.3">
      <c r="A861" s="34" t="s">
        <v>1852</v>
      </c>
      <c r="B861" s="35" t="s">
        <v>1853</v>
      </c>
      <c r="C861" s="35" t="s">
        <v>416</v>
      </c>
      <c r="D861" s="34" t="s">
        <v>155</v>
      </c>
      <c r="E861" s="34">
        <v>0</v>
      </c>
      <c r="F861" s="34">
        <v>1</v>
      </c>
      <c r="G861" s="34"/>
      <c r="H861" s="34"/>
    </row>
    <row r="862" spans="1:8" ht="15" customHeight="1" x14ac:dyDescent="0.3">
      <c r="A862" s="24" t="s">
        <v>1854</v>
      </c>
      <c r="B862" s="23" t="s">
        <v>1855</v>
      </c>
      <c r="C862" s="23" t="s">
        <v>158</v>
      </c>
      <c r="D862" s="24" t="s">
        <v>155</v>
      </c>
      <c r="E862" s="24">
        <v>0</v>
      </c>
      <c r="F862" s="24">
        <v>2</v>
      </c>
      <c r="G862" s="24"/>
      <c r="H862" s="24"/>
    </row>
    <row r="863" spans="1:8" ht="15" customHeight="1" x14ac:dyDescent="0.3">
      <c r="A863" s="34" t="s">
        <v>1856</v>
      </c>
      <c r="B863" s="35" t="s">
        <v>1857</v>
      </c>
      <c r="C863" s="35" t="s">
        <v>171</v>
      </c>
      <c r="D863" s="34" t="s">
        <v>155</v>
      </c>
      <c r="E863" s="34">
        <v>0</v>
      </c>
      <c r="F863" s="34">
        <v>2</v>
      </c>
      <c r="G863" s="34"/>
      <c r="H863" s="34"/>
    </row>
    <row r="864" spans="1:8" ht="15" customHeight="1" x14ac:dyDescent="0.3">
      <c r="A864" s="24" t="s">
        <v>1858</v>
      </c>
      <c r="B864" s="23" t="s">
        <v>1859</v>
      </c>
      <c r="C864" s="23" t="s">
        <v>198</v>
      </c>
      <c r="D864" s="24" t="s">
        <v>155</v>
      </c>
      <c r="E864" s="24">
        <v>0</v>
      </c>
      <c r="F864" s="24">
        <v>1</v>
      </c>
      <c r="G864" s="24"/>
      <c r="H864" s="24"/>
    </row>
    <row r="865" spans="1:8" ht="15" customHeight="1" x14ac:dyDescent="0.3">
      <c r="A865" s="34" t="s">
        <v>1860</v>
      </c>
      <c r="B865" s="35" t="s">
        <v>1861</v>
      </c>
      <c r="C865" s="35" t="s">
        <v>309</v>
      </c>
      <c r="D865" s="34" t="s">
        <v>155</v>
      </c>
      <c r="E865" s="34">
        <v>0</v>
      </c>
      <c r="F865" s="34">
        <v>1</v>
      </c>
      <c r="G865" s="34"/>
      <c r="H865" s="34"/>
    </row>
    <row r="866" spans="1:8" ht="15" customHeight="1" x14ac:dyDescent="0.3">
      <c r="A866" s="24" t="s">
        <v>1862</v>
      </c>
      <c r="B866" s="23" t="s">
        <v>1863</v>
      </c>
      <c r="C866" s="23" t="s">
        <v>158</v>
      </c>
      <c r="D866" s="24" t="s">
        <v>155</v>
      </c>
      <c r="E866" s="24">
        <v>7</v>
      </c>
      <c r="F866" s="24">
        <v>3</v>
      </c>
      <c r="G866" s="24"/>
      <c r="H866" s="24"/>
    </row>
    <row r="867" spans="1:8" ht="15" customHeight="1" x14ac:dyDescent="0.3">
      <c r="A867" s="34" t="s">
        <v>1864</v>
      </c>
      <c r="B867" s="35" t="s">
        <v>1865</v>
      </c>
      <c r="C867" s="35" t="s">
        <v>158</v>
      </c>
      <c r="D867" s="34" t="s">
        <v>155</v>
      </c>
      <c r="E867" s="34">
        <v>492</v>
      </c>
      <c r="F867" s="34">
        <v>13</v>
      </c>
      <c r="G867" s="34"/>
      <c r="H867" s="34"/>
    </row>
    <row r="868" spans="1:8" ht="15" customHeight="1" x14ac:dyDescent="0.3">
      <c r="A868" s="24" t="s">
        <v>1866</v>
      </c>
      <c r="B868" s="23" t="s">
        <v>1867</v>
      </c>
      <c r="C868" s="23" t="s">
        <v>158</v>
      </c>
      <c r="D868" s="24" t="s">
        <v>155</v>
      </c>
      <c r="E868" s="24">
        <v>0</v>
      </c>
      <c r="F868" s="24">
        <v>1</v>
      </c>
      <c r="G868" s="24"/>
      <c r="H868" s="24"/>
    </row>
    <row r="869" spans="1:8" ht="15" customHeight="1" x14ac:dyDescent="0.3">
      <c r="A869" s="34" t="s">
        <v>1868</v>
      </c>
      <c r="B869" s="35" t="s">
        <v>1869</v>
      </c>
      <c r="C869" s="35" t="s">
        <v>213</v>
      </c>
      <c r="D869" s="34" t="s">
        <v>155</v>
      </c>
      <c r="E869" s="34">
        <v>0</v>
      </c>
      <c r="F869" s="34">
        <v>2</v>
      </c>
      <c r="G869" s="34"/>
      <c r="H869" s="34"/>
    </row>
    <row r="870" spans="1:8" ht="15" customHeight="1" x14ac:dyDescent="0.3">
      <c r="A870" s="24" t="s">
        <v>1870</v>
      </c>
      <c r="B870" s="23" t="s">
        <v>1871</v>
      </c>
      <c r="C870" s="23" t="s">
        <v>154</v>
      </c>
      <c r="D870" s="24" t="s">
        <v>155</v>
      </c>
      <c r="E870" s="24">
        <v>0</v>
      </c>
      <c r="F870" s="24">
        <v>1</v>
      </c>
      <c r="G870" s="24"/>
      <c r="H870" s="24"/>
    </row>
    <row r="871" spans="1:8" ht="15" customHeight="1" x14ac:dyDescent="0.3">
      <c r="A871" s="34" t="s">
        <v>1872</v>
      </c>
      <c r="B871" s="35" t="s">
        <v>1873</v>
      </c>
      <c r="C871" s="35" t="s">
        <v>158</v>
      </c>
      <c r="D871" s="34" t="s">
        <v>155</v>
      </c>
      <c r="E871" s="34">
        <v>31</v>
      </c>
      <c r="F871" s="34">
        <v>6</v>
      </c>
      <c r="G871" s="34"/>
      <c r="H871" s="34"/>
    </row>
    <row r="872" spans="1:8" ht="15" customHeight="1" x14ac:dyDescent="0.3">
      <c r="A872" s="24" t="s">
        <v>1874</v>
      </c>
      <c r="B872" s="23" t="s">
        <v>1875</v>
      </c>
      <c r="C872" s="23" t="s">
        <v>164</v>
      </c>
      <c r="D872" s="24" t="s">
        <v>155</v>
      </c>
      <c r="E872" s="24">
        <v>0</v>
      </c>
      <c r="F872" s="24">
        <v>1</v>
      </c>
      <c r="G872" s="24"/>
      <c r="H872" s="24"/>
    </row>
    <row r="873" spans="1:8" ht="15" customHeight="1" x14ac:dyDescent="0.3">
      <c r="A873" s="34" t="s">
        <v>1876</v>
      </c>
      <c r="B873" s="35" t="s">
        <v>1877</v>
      </c>
      <c r="C873" s="35" t="s">
        <v>164</v>
      </c>
      <c r="D873" s="34" t="s">
        <v>155</v>
      </c>
      <c r="E873" s="34">
        <v>0</v>
      </c>
      <c r="F873" s="34">
        <v>1</v>
      </c>
      <c r="G873" s="34"/>
      <c r="H873" s="34"/>
    </row>
    <row r="874" spans="1:8" ht="15" customHeight="1" x14ac:dyDescent="0.3">
      <c r="A874" s="24" t="s">
        <v>1878</v>
      </c>
      <c r="B874" s="23" t="s">
        <v>1879</v>
      </c>
      <c r="C874" s="23" t="s">
        <v>164</v>
      </c>
      <c r="D874" s="24" t="s">
        <v>155</v>
      </c>
      <c r="E874" s="24">
        <v>0</v>
      </c>
      <c r="F874" s="24">
        <v>2</v>
      </c>
      <c r="G874" s="24"/>
      <c r="H874" s="24"/>
    </row>
    <row r="875" spans="1:8" ht="15" customHeight="1" x14ac:dyDescent="0.3">
      <c r="A875" s="34" t="s">
        <v>1880</v>
      </c>
      <c r="B875" s="35" t="s">
        <v>1881</v>
      </c>
      <c r="C875" s="35" t="s">
        <v>171</v>
      </c>
      <c r="D875" s="34" t="s">
        <v>155</v>
      </c>
      <c r="E875" s="34">
        <v>0</v>
      </c>
      <c r="F875" s="34">
        <v>2</v>
      </c>
      <c r="G875" s="34"/>
      <c r="H875" s="34"/>
    </row>
    <row r="876" spans="1:8" ht="15" customHeight="1" x14ac:dyDescent="0.3">
      <c r="A876" s="24" t="s">
        <v>1882</v>
      </c>
      <c r="B876" s="23" t="s">
        <v>1883</v>
      </c>
      <c r="C876" s="23" t="s">
        <v>154</v>
      </c>
      <c r="D876" s="24" t="s">
        <v>155</v>
      </c>
      <c r="E876" s="24">
        <v>0</v>
      </c>
      <c r="F876" s="24">
        <v>2</v>
      </c>
      <c r="G876" s="24"/>
      <c r="H876" s="24"/>
    </row>
    <row r="877" spans="1:8" ht="15" customHeight="1" x14ac:dyDescent="0.3">
      <c r="A877" s="34" t="s">
        <v>1884</v>
      </c>
      <c r="B877" s="35" t="s">
        <v>1885</v>
      </c>
      <c r="C877" s="35" t="s">
        <v>158</v>
      </c>
      <c r="D877" s="34" t="s">
        <v>155</v>
      </c>
      <c r="E877" s="34">
        <v>0</v>
      </c>
      <c r="F877" s="34">
        <v>2</v>
      </c>
      <c r="G877" s="34"/>
      <c r="H877" s="34"/>
    </row>
    <row r="878" spans="1:8" ht="15" customHeight="1" x14ac:dyDescent="0.3">
      <c r="A878" s="24" t="s">
        <v>1886</v>
      </c>
      <c r="B878" s="23" t="s">
        <v>1887</v>
      </c>
      <c r="C878" s="23" t="s">
        <v>185</v>
      </c>
      <c r="D878" s="24" t="s">
        <v>155</v>
      </c>
      <c r="E878" s="24">
        <v>0</v>
      </c>
      <c r="F878" s="24">
        <v>1</v>
      </c>
      <c r="G878" s="24"/>
      <c r="H878" s="24"/>
    </row>
    <row r="879" spans="1:8" ht="15" customHeight="1" x14ac:dyDescent="0.3">
      <c r="A879" s="34" t="s">
        <v>1888</v>
      </c>
      <c r="B879" s="35" t="s">
        <v>1889</v>
      </c>
      <c r="C879" s="35" t="s">
        <v>198</v>
      </c>
      <c r="D879" s="34" t="s">
        <v>155</v>
      </c>
      <c r="E879" s="34">
        <v>0</v>
      </c>
      <c r="F879" s="34">
        <v>1</v>
      </c>
      <c r="G879" s="34"/>
      <c r="H879" s="34"/>
    </row>
    <row r="880" spans="1:8" ht="15" customHeight="1" x14ac:dyDescent="0.3">
      <c r="A880" s="24" t="s">
        <v>1890</v>
      </c>
      <c r="B880" s="23" t="s">
        <v>1891</v>
      </c>
      <c r="C880" s="23" t="s">
        <v>185</v>
      </c>
      <c r="D880" s="24" t="s">
        <v>155</v>
      </c>
      <c r="E880" s="24">
        <v>0</v>
      </c>
      <c r="F880" s="24">
        <v>1</v>
      </c>
      <c r="G880" s="24"/>
      <c r="H880" s="24"/>
    </row>
    <row r="881" spans="1:8" ht="15" customHeight="1" x14ac:dyDescent="0.3">
      <c r="A881" s="34" t="s">
        <v>1892</v>
      </c>
      <c r="B881" s="35" t="s">
        <v>1893</v>
      </c>
      <c r="C881" s="35" t="s">
        <v>185</v>
      </c>
      <c r="D881" s="34" t="s">
        <v>155</v>
      </c>
      <c r="E881" s="34">
        <v>0</v>
      </c>
      <c r="F881" s="34">
        <v>1</v>
      </c>
      <c r="G881" s="34"/>
      <c r="H881" s="34"/>
    </row>
    <row r="882" spans="1:8" ht="15" customHeight="1" x14ac:dyDescent="0.3">
      <c r="A882" s="24" t="s">
        <v>1894</v>
      </c>
      <c r="B882" s="23" t="s">
        <v>1895</v>
      </c>
      <c r="C882" s="23" t="s">
        <v>171</v>
      </c>
      <c r="D882" s="24" t="s">
        <v>155</v>
      </c>
      <c r="E882" s="24">
        <v>0</v>
      </c>
      <c r="F882" s="24">
        <v>1</v>
      </c>
      <c r="G882" s="24"/>
      <c r="H882" s="24"/>
    </row>
    <row r="883" spans="1:8" ht="15" customHeight="1" x14ac:dyDescent="0.3">
      <c r="A883" s="34" t="s">
        <v>1896</v>
      </c>
      <c r="B883" s="35" t="s">
        <v>1897</v>
      </c>
      <c r="C883" s="35" t="s">
        <v>213</v>
      </c>
      <c r="D883" s="34" t="s">
        <v>155</v>
      </c>
      <c r="E883" s="34">
        <v>0</v>
      </c>
      <c r="F883" s="34">
        <v>7</v>
      </c>
      <c r="G883" s="34"/>
      <c r="H883" s="34"/>
    </row>
    <row r="884" spans="1:8" ht="15" customHeight="1" x14ac:dyDescent="0.3">
      <c r="A884" s="24" t="s">
        <v>1898</v>
      </c>
      <c r="B884" s="23" t="s">
        <v>1899</v>
      </c>
      <c r="C884" s="23" t="s">
        <v>188</v>
      </c>
      <c r="D884" s="24" t="s">
        <v>155</v>
      </c>
      <c r="E884" s="24">
        <v>0</v>
      </c>
      <c r="F884" s="24">
        <v>1</v>
      </c>
      <c r="G884" s="24"/>
      <c r="H884" s="24"/>
    </row>
    <row r="885" spans="1:8" ht="15" customHeight="1" x14ac:dyDescent="0.3">
      <c r="A885" s="34" t="s">
        <v>1900</v>
      </c>
      <c r="B885" s="35" t="s">
        <v>1901</v>
      </c>
      <c r="C885" s="35" t="s">
        <v>185</v>
      </c>
      <c r="D885" s="34" t="s">
        <v>155</v>
      </c>
      <c r="E885" s="34">
        <v>29</v>
      </c>
      <c r="F885" s="34">
        <v>6</v>
      </c>
      <c r="G885" s="34"/>
      <c r="H885" s="34"/>
    </row>
    <row r="886" spans="1:8" ht="15" customHeight="1" x14ac:dyDescent="0.3">
      <c r="A886" s="24" t="s">
        <v>1902</v>
      </c>
      <c r="B886" s="23" t="s">
        <v>1903</v>
      </c>
      <c r="C886" s="23" t="s">
        <v>158</v>
      </c>
      <c r="D886" s="24" t="s">
        <v>155</v>
      </c>
      <c r="E886" s="24">
        <v>0</v>
      </c>
      <c r="F886" s="24">
        <v>1</v>
      </c>
      <c r="G886" s="24"/>
      <c r="H886" s="24"/>
    </row>
    <row r="887" spans="1:8" ht="15" customHeight="1" x14ac:dyDescent="0.3">
      <c r="A887" s="34" t="s">
        <v>1904</v>
      </c>
      <c r="B887" s="35" t="s">
        <v>1905</v>
      </c>
      <c r="C887" s="35" t="s">
        <v>158</v>
      </c>
      <c r="D887" s="34" t="s">
        <v>155</v>
      </c>
      <c r="E887" s="34">
        <v>0</v>
      </c>
      <c r="F887" s="34">
        <v>4</v>
      </c>
      <c r="G887" s="34"/>
      <c r="H887" s="34"/>
    </row>
    <row r="888" spans="1:8" ht="15" customHeight="1" x14ac:dyDescent="0.3">
      <c r="A888" s="24" t="s">
        <v>1906</v>
      </c>
      <c r="B888" s="23" t="s">
        <v>1907</v>
      </c>
      <c r="C888" s="23" t="s">
        <v>198</v>
      </c>
      <c r="D888" s="24" t="s">
        <v>155</v>
      </c>
      <c r="E888" s="24">
        <v>0</v>
      </c>
      <c r="F888" s="24">
        <v>2</v>
      </c>
      <c r="G888" s="24"/>
      <c r="H888" s="24"/>
    </row>
    <row r="889" spans="1:8" ht="15" customHeight="1" x14ac:dyDescent="0.3">
      <c r="A889" s="34" t="s">
        <v>1908</v>
      </c>
      <c r="B889" s="35" t="s">
        <v>1909</v>
      </c>
      <c r="C889" s="35" t="s">
        <v>164</v>
      </c>
      <c r="D889" s="34" t="s">
        <v>155</v>
      </c>
      <c r="E889" s="34">
        <v>0</v>
      </c>
      <c r="F889" s="34">
        <v>1</v>
      </c>
      <c r="G889" s="34"/>
      <c r="H889" s="34"/>
    </row>
    <row r="890" spans="1:8" ht="15" customHeight="1" x14ac:dyDescent="0.3">
      <c r="A890" s="24" t="s">
        <v>1910</v>
      </c>
      <c r="B890" s="23" t="s">
        <v>1911</v>
      </c>
      <c r="C890" s="23" t="s">
        <v>213</v>
      </c>
      <c r="D890" s="24" t="s">
        <v>155</v>
      </c>
      <c r="E890" s="24">
        <v>0</v>
      </c>
      <c r="F890" s="24">
        <v>2</v>
      </c>
      <c r="G890" s="24"/>
      <c r="H890" s="24"/>
    </row>
    <row r="891" spans="1:8" ht="15" customHeight="1" x14ac:dyDescent="0.3">
      <c r="A891" s="34" t="s">
        <v>1912</v>
      </c>
      <c r="B891" s="35" t="s">
        <v>1913</v>
      </c>
      <c r="C891" s="35" t="s">
        <v>158</v>
      </c>
      <c r="D891" s="34" t="s">
        <v>155</v>
      </c>
      <c r="E891" s="34">
        <v>0</v>
      </c>
      <c r="F891" s="34">
        <v>3</v>
      </c>
      <c r="G891" s="34"/>
      <c r="H891" s="34"/>
    </row>
    <row r="892" spans="1:8" ht="15" customHeight="1" x14ac:dyDescent="0.3">
      <c r="A892" s="24" t="s">
        <v>1914</v>
      </c>
      <c r="B892" s="23" t="s">
        <v>1915</v>
      </c>
      <c r="C892" s="23" t="s">
        <v>158</v>
      </c>
      <c r="D892" s="24" t="s">
        <v>155</v>
      </c>
      <c r="E892" s="24">
        <v>0</v>
      </c>
      <c r="F892" s="24">
        <v>2</v>
      </c>
      <c r="G892" s="24"/>
      <c r="H892" s="24"/>
    </row>
    <row r="893" spans="1:8" ht="15" customHeight="1" x14ac:dyDescent="0.3">
      <c r="A893" s="34" t="s">
        <v>1916</v>
      </c>
      <c r="B893" s="35" t="s">
        <v>1917</v>
      </c>
      <c r="C893" s="35" t="s">
        <v>225</v>
      </c>
      <c r="D893" s="34" t="s">
        <v>155</v>
      </c>
      <c r="E893" s="34">
        <v>0</v>
      </c>
      <c r="F893" s="34">
        <v>3</v>
      </c>
      <c r="G893" s="34"/>
      <c r="H893" s="34"/>
    </row>
    <row r="894" spans="1:8" ht="15" customHeight="1" x14ac:dyDescent="0.3">
      <c r="A894" s="24" t="s">
        <v>1918</v>
      </c>
      <c r="B894" s="23" t="s">
        <v>1919</v>
      </c>
      <c r="C894" s="23" t="s">
        <v>213</v>
      </c>
      <c r="D894" s="24" t="s">
        <v>155</v>
      </c>
      <c r="E894" s="24">
        <v>0</v>
      </c>
      <c r="F894" s="24">
        <v>2</v>
      </c>
      <c r="G894" s="24"/>
      <c r="H894" s="24"/>
    </row>
    <row r="895" spans="1:8" ht="15" customHeight="1" x14ac:dyDescent="0.3">
      <c r="A895" s="34" t="s">
        <v>1920</v>
      </c>
      <c r="B895" s="35" t="s">
        <v>1921</v>
      </c>
      <c r="C895" s="35" t="s">
        <v>225</v>
      </c>
      <c r="D895" s="34" t="s">
        <v>155</v>
      </c>
      <c r="E895" s="34">
        <v>0</v>
      </c>
      <c r="F895" s="34">
        <v>1</v>
      </c>
      <c r="G895" s="34"/>
      <c r="H895" s="34"/>
    </row>
    <row r="896" spans="1:8" ht="15" customHeight="1" x14ac:dyDescent="0.3">
      <c r="A896" s="24" t="s">
        <v>1922</v>
      </c>
      <c r="B896" s="23" t="s">
        <v>1923</v>
      </c>
      <c r="C896" s="23" t="s">
        <v>213</v>
      </c>
      <c r="D896" s="24" t="s">
        <v>155</v>
      </c>
      <c r="E896" s="24">
        <v>0</v>
      </c>
      <c r="F896" s="24">
        <v>2</v>
      </c>
      <c r="G896" s="24"/>
      <c r="H896" s="24"/>
    </row>
    <row r="897" spans="1:8" ht="15" customHeight="1" x14ac:dyDescent="0.3">
      <c r="A897" s="34" t="s">
        <v>1924</v>
      </c>
      <c r="B897" s="35" t="s">
        <v>1925</v>
      </c>
      <c r="C897" s="35" t="s">
        <v>213</v>
      </c>
      <c r="D897" s="34" t="s">
        <v>155</v>
      </c>
      <c r="E897" s="34">
        <v>0</v>
      </c>
      <c r="F897" s="34">
        <v>2</v>
      </c>
      <c r="G897" s="34"/>
      <c r="H897" s="34"/>
    </row>
    <row r="898" spans="1:8" ht="15" customHeight="1" x14ac:dyDescent="0.3">
      <c r="A898" s="24" t="s">
        <v>1926</v>
      </c>
      <c r="B898" s="23" t="s">
        <v>1927</v>
      </c>
      <c r="C898" s="23" t="s">
        <v>309</v>
      </c>
      <c r="D898" s="24" t="s">
        <v>155</v>
      </c>
      <c r="E898" s="24">
        <v>0</v>
      </c>
      <c r="F898" s="24">
        <v>2</v>
      </c>
      <c r="G898" s="24"/>
      <c r="H898" s="24"/>
    </row>
    <row r="899" spans="1:8" ht="15" customHeight="1" x14ac:dyDescent="0.3">
      <c r="A899" s="34" t="s">
        <v>1928</v>
      </c>
      <c r="B899" s="35" t="s">
        <v>1929</v>
      </c>
      <c r="C899" s="35" t="s">
        <v>213</v>
      </c>
      <c r="D899" s="34" t="s">
        <v>155</v>
      </c>
      <c r="E899" s="34">
        <v>0</v>
      </c>
      <c r="F899" s="34">
        <v>2</v>
      </c>
      <c r="G899" s="34"/>
      <c r="H899" s="34"/>
    </row>
    <row r="900" spans="1:8" ht="15" customHeight="1" x14ac:dyDescent="0.3">
      <c r="A900" s="24" t="s">
        <v>1930</v>
      </c>
      <c r="B900" s="23" t="s">
        <v>1931</v>
      </c>
      <c r="C900" s="23" t="s">
        <v>185</v>
      </c>
      <c r="D900" s="24" t="s">
        <v>155</v>
      </c>
      <c r="E900" s="24">
        <v>0</v>
      </c>
      <c r="F900" s="24">
        <v>1</v>
      </c>
      <c r="G900" s="24"/>
      <c r="H900" s="24"/>
    </row>
    <row r="901" spans="1:8" ht="15" customHeight="1" x14ac:dyDescent="0.3">
      <c r="A901" s="34" t="s">
        <v>1932</v>
      </c>
      <c r="B901" s="35" t="s">
        <v>1933</v>
      </c>
      <c r="C901" s="35" t="s">
        <v>213</v>
      </c>
      <c r="D901" s="34" t="s">
        <v>155</v>
      </c>
      <c r="E901" s="34">
        <v>0</v>
      </c>
      <c r="F901" s="34">
        <v>2</v>
      </c>
      <c r="G901" s="34"/>
      <c r="H901" s="34"/>
    </row>
    <row r="902" spans="1:8" ht="15" customHeight="1" x14ac:dyDescent="0.3">
      <c r="A902" s="24" t="s">
        <v>1934</v>
      </c>
      <c r="B902" s="23" t="s">
        <v>1935</v>
      </c>
      <c r="C902" s="23" t="s">
        <v>158</v>
      </c>
      <c r="D902" s="24" t="s">
        <v>155</v>
      </c>
      <c r="E902" s="24">
        <v>0</v>
      </c>
      <c r="F902" s="24">
        <v>1</v>
      </c>
      <c r="G902" s="24"/>
      <c r="H902" s="24"/>
    </row>
    <row r="903" spans="1:8" ht="15" customHeight="1" x14ac:dyDescent="0.3">
      <c r="A903" s="34" t="s">
        <v>1936</v>
      </c>
      <c r="B903" s="35" t="s">
        <v>1937</v>
      </c>
      <c r="C903" s="35" t="s">
        <v>833</v>
      </c>
      <c r="D903" s="34" t="s">
        <v>155</v>
      </c>
      <c r="E903" s="34">
        <v>0</v>
      </c>
      <c r="F903" s="34">
        <v>4</v>
      </c>
      <c r="G903" s="34"/>
      <c r="H903" s="34"/>
    </row>
    <row r="904" spans="1:8" ht="15" customHeight="1" x14ac:dyDescent="0.3">
      <c r="A904" s="24" t="s">
        <v>1938</v>
      </c>
      <c r="B904" s="23" t="s">
        <v>1939</v>
      </c>
      <c r="C904" s="23" t="s">
        <v>171</v>
      </c>
      <c r="D904" s="24" t="s">
        <v>155</v>
      </c>
      <c r="E904" s="24">
        <v>0</v>
      </c>
      <c r="F904" s="24">
        <v>3</v>
      </c>
      <c r="G904" s="24"/>
      <c r="H904" s="24"/>
    </row>
    <row r="905" spans="1:8" ht="15" customHeight="1" x14ac:dyDescent="0.3">
      <c r="A905" s="34" t="s">
        <v>1940</v>
      </c>
      <c r="B905" s="35" t="s">
        <v>1941</v>
      </c>
      <c r="C905" s="35" t="s">
        <v>158</v>
      </c>
      <c r="D905" s="34" t="s">
        <v>155</v>
      </c>
      <c r="E905" s="34">
        <v>0</v>
      </c>
      <c r="F905" s="34">
        <v>1</v>
      </c>
      <c r="G905" s="34"/>
      <c r="H905" s="34"/>
    </row>
    <row r="906" spans="1:8" ht="15" customHeight="1" x14ac:dyDescent="0.3">
      <c r="A906" s="24" t="s">
        <v>1942</v>
      </c>
      <c r="B906" s="23" t="s">
        <v>1943</v>
      </c>
      <c r="C906" s="23" t="s">
        <v>309</v>
      </c>
      <c r="D906" s="24" t="s">
        <v>155</v>
      </c>
      <c r="E906" s="24">
        <v>0</v>
      </c>
      <c r="F906" s="24">
        <v>1</v>
      </c>
      <c r="G906" s="24"/>
      <c r="H906" s="24"/>
    </row>
    <row r="907" spans="1:8" ht="15" customHeight="1" x14ac:dyDescent="0.3">
      <c r="A907" s="34" t="s">
        <v>1944</v>
      </c>
      <c r="B907" s="35" t="s">
        <v>1945</v>
      </c>
      <c r="C907" s="35" t="s">
        <v>154</v>
      </c>
      <c r="D907" s="34" t="s">
        <v>155</v>
      </c>
      <c r="E907" s="34">
        <v>0</v>
      </c>
      <c r="F907" s="34">
        <v>1</v>
      </c>
      <c r="G907" s="34"/>
      <c r="H907" s="34"/>
    </row>
    <row r="908" spans="1:8" ht="15" customHeight="1" x14ac:dyDescent="0.3">
      <c r="A908" s="24" t="s">
        <v>1946</v>
      </c>
      <c r="B908" s="23" t="s">
        <v>1947</v>
      </c>
      <c r="C908" s="23" t="s">
        <v>171</v>
      </c>
      <c r="D908" s="24" t="s">
        <v>155</v>
      </c>
      <c r="E908" s="24">
        <v>0</v>
      </c>
      <c r="F908" s="24">
        <v>1</v>
      </c>
      <c r="G908" s="24"/>
      <c r="H908" s="24"/>
    </row>
    <row r="909" spans="1:8" ht="15" customHeight="1" x14ac:dyDescent="0.3">
      <c r="A909" s="34" t="s">
        <v>1948</v>
      </c>
      <c r="B909" s="35" t="s">
        <v>1949</v>
      </c>
      <c r="C909" s="35" t="s">
        <v>561</v>
      </c>
      <c r="D909" s="34" t="s">
        <v>155</v>
      </c>
      <c r="E909" s="34">
        <v>0</v>
      </c>
      <c r="F909" s="34">
        <v>2</v>
      </c>
      <c r="G909" s="34"/>
      <c r="H909" s="34"/>
    </row>
    <row r="910" spans="1:8" ht="15" customHeight="1" x14ac:dyDescent="0.3">
      <c r="A910" s="24" t="s">
        <v>1950</v>
      </c>
      <c r="B910" s="23" t="s">
        <v>1951</v>
      </c>
      <c r="C910" s="23" t="s">
        <v>213</v>
      </c>
      <c r="D910" s="24" t="s">
        <v>155</v>
      </c>
      <c r="E910" s="24">
        <v>0</v>
      </c>
      <c r="F910" s="24">
        <v>1</v>
      </c>
      <c r="G910" s="24"/>
      <c r="H910" s="24"/>
    </row>
    <row r="911" spans="1:8" ht="15" customHeight="1" x14ac:dyDescent="0.3">
      <c r="A911" s="34" t="s">
        <v>1952</v>
      </c>
      <c r="B911" s="35" t="s">
        <v>1953</v>
      </c>
      <c r="C911" s="35" t="s">
        <v>158</v>
      </c>
      <c r="D911" s="34" t="s">
        <v>155</v>
      </c>
      <c r="E911" s="34">
        <v>0</v>
      </c>
      <c r="F911" s="34">
        <v>1</v>
      </c>
      <c r="G911" s="34"/>
      <c r="H911" s="34"/>
    </row>
    <row r="912" spans="1:8" ht="15" customHeight="1" x14ac:dyDescent="0.3">
      <c r="A912" s="24" t="s">
        <v>1954</v>
      </c>
      <c r="B912" s="23" t="s">
        <v>1955</v>
      </c>
      <c r="C912" s="23" t="s">
        <v>198</v>
      </c>
      <c r="D912" s="24" t="s">
        <v>155</v>
      </c>
      <c r="E912" s="24">
        <v>2</v>
      </c>
      <c r="F912" s="24">
        <v>2</v>
      </c>
      <c r="G912" s="24"/>
      <c r="H912" s="24"/>
    </row>
    <row r="913" spans="1:8" ht="15" customHeight="1" x14ac:dyDescent="0.3">
      <c r="A913" s="34" t="s">
        <v>1956</v>
      </c>
      <c r="B913" s="35" t="s">
        <v>1957</v>
      </c>
      <c r="C913" s="35" t="s">
        <v>164</v>
      </c>
      <c r="D913" s="34" t="s">
        <v>155</v>
      </c>
      <c r="E913" s="34">
        <v>0</v>
      </c>
      <c r="F913" s="34">
        <v>2</v>
      </c>
      <c r="G913" s="34"/>
      <c r="H913" s="34"/>
    </row>
    <row r="914" spans="1:8" ht="15" customHeight="1" x14ac:dyDescent="0.3">
      <c r="A914" s="24" t="s">
        <v>1958</v>
      </c>
      <c r="B914" s="23" t="s">
        <v>1959</v>
      </c>
      <c r="C914" s="23" t="s">
        <v>216</v>
      </c>
      <c r="D914" s="24" t="s">
        <v>155</v>
      </c>
      <c r="E914" s="24">
        <v>0</v>
      </c>
      <c r="F914" s="24">
        <v>1</v>
      </c>
      <c r="G914" s="24"/>
      <c r="H914" s="24"/>
    </row>
    <row r="915" spans="1:8" ht="15" customHeight="1" x14ac:dyDescent="0.3">
      <c r="A915" s="34" t="s">
        <v>1960</v>
      </c>
      <c r="B915" s="35" t="s">
        <v>1961</v>
      </c>
      <c r="C915" s="35" t="s">
        <v>833</v>
      </c>
      <c r="D915" s="34" t="s">
        <v>155</v>
      </c>
      <c r="E915" s="34">
        <v>0</v>
      </c>
      <c r="F915" s="34">
        <v>1</v>
      </c>
      <c r="G915" s="34"/>
      <c r="H915" s="34"/>
    </row>
    <row r="916" spans="1:8" ht="15" customHeight="1" x14ac:dyDescent="0.3">
      <c r="A916" s="24" t="s">
        <v>1962</v>
      </c>
      <c r="B916" s="23" t="s">
        <v>1963</v>
      </c>
      <c r="C916" s="23" t="s">
        <v>185</v>
      </c>
      <c r="D916" s="24" t="s">
        <v>155</v>
      </c>
      <c r="E916" s="24">
        <v>0</v>
      </c>
      <c r="F916" s="24">
        <v>2</v>
      </c>
      <c r="G916" s="24"/>
      <c r="H916" s="24"/>
    </row>
    <row r="917" spans="1:8" ht="15" customHeight="1" x14ac:dyDescent="0.3">
      <c r="A917" s="34" t="s">
        <v>1964</v>
      </c>
      <c r="B917" s="35" t="s">
        <v>1965</v>
      </c>
      <c r="C917" s="35" t="s">
        <v>158</v>
      </c>
      <c r="D917" s="34" t="s">
        <v>155</v>
      </c>
      <c r="E917" s="34">
        <v>0</v>
      </c>
      <c r="F917" s="34">
        <v>1</v>
      </c>
      <c r="G917" s="34"/>
      <c r="H917" s="34"/>
    </row>
    <row r="918" spans="1:8" ht="15" customHeight="1" x14ac:dyDescent="0.3">
      <c r="A918" s="24" t="s">
        <v>1966</v>
      </c>
      <c r="B918" s="23" t="s">
        <v>1967</v>
      </c>
      <c r="C918" s="23" t="s">
        <v>164</v>
      </c>
      <c r="D918" s="24" t="s">
        <v>155</v>
      </c>
      <c r="E918" s="24">
        <v>1</v>
      </c>
      <c r="F918" s="24">
        <v>3</v>
      </c>
      <c r="G918" s="24"/>
      <c r="H918" s="24"/>
    </row>
    <row r="919" spans="1:8" ht="15" customHeight="1" x14ac:dyDescent="0.3">
      <c r="A919" s="34" t="s">
        <v>1968</v>
      </c>
      <c r="B919" s="35" t="s">
        <v>1969</v>
      </c>
      <c r="C919" s="35" t="s">
        <v>164</v>
      </c>
      <c r="D919" s="34" t="s">
        <v>155</v>
      </c>
      <c r="E919" s="34">
        <v>0</v>
      </c>
      <c r="F919" s="34">
        <v>1</v>
      </c>
      <c r="G919" s="34"/>
      <c r="H919" s="34"/>
    </row>
    <row r="920" spans="1:8" ht="15" customHeight="1" x14ac:dyDescent="0.3">
      <c r="A920" s="24" t="s">
        <v>1970</v>
      </c>
      <c r="B920" s="23" t="s">
        <v>1971</v>
      </c>
      <c r="C920" s="23" t="s">
        <v>171</v>
      </c>
      <c r="D920" s="24" t="s">
        <v>155</v>
      </c>
      <c r="E920" s="24">
        <v>0</v>
      </c>
      <c r="F920" s="24">
        <v>2</v>
      </c>
      <c r="G920" s="24"/>
      <c r="H920" s="24"/>
    </row>
    <row r="921" spans="1:8" ht="15" customHeight="1" x14ac:dyDescent="0.3">
      <c r="A921" s="34" t="s">
        <v>1972</v>
      </c>
      <c r="B921" s="35" t="s">
        <v>1973</v>
      </c>
      <c r="C921" s="35" t="s">
        <v>158</v>
      </c>
      <c r="D921" s="34" t="s">
        <v>155</v>
      </c>
      <c r="E921" s="34">
        <v>0</v>
      </c>
      <c r="F921" s="34">
        <v>2</v>
      </c>
      <c r="G921" s="34"/>
      <c r="H921" s="34"/>
    </row>
    <row r="922" spans="1:8" ht="15" customHeight="1" x14ac:dyDescent="0.3">
      <c r="A922" s="24" t="s">
        <v>1974</v>
      </c>
      <c r="B922" s="23" t="s">
        <v>1975</v>
      </c>
      <c r="C922" s="23" t="s">
        <v>198</v>
      </c>
      <c r="D922" s="24" t="s">
        <v>155</v>
      </c>
      <c r="E922" s="24">
        <v>0</v>
      </c>
      <c r="F922" s="24">
        <v>2</v>
      </c>
      <c r="G922" s="24"/>
      <c r="H922" s="24"/>
    </row>
    <row r="923" spans="1:8" ht="15" customHeight="1" x14ac:dyDescent="0.3">
      <c r="A923" s="34" t="s">
        <v>1976</v>
      </c>
      <c r="B923" s="35" t="s">
        <v>1977</v>
      </c>
      <c r="C923" s="35" t="s">
        <v>198</v>
      </c>
      <c r="D923" s="34" t="s">
        <v>155</v>
      </c>
      <c r="E923" s="34">
        <v>0</v>
      </c>
      <c r="F923" s="34">
        <v>2</v>
      </c>
      <c r="G923" s="34"/>
      <c r="H923" s="34"/>
    </row>
    <row r="924" spans="1:8" ht="15" customHeight="1" x14ac:dyDescent="0.3">
      <c r="A924" s="24" t="s">
        <v>1978</v>
      </c>
      <c r="B924" s="23" t="s">
        <v>1979</v>
      </c>
      <c r="C924" s="23" t="s">
        <v>635</v>
      </c>
      <c r="D924" s="24" t="s">
        <v>155</v>
      </c>
      <c r="E924" s="24">
        <v>0</v>
      </c>
      <c r="F924" s="24">
        <v>1</v>
      </c>
      <c r="G924" s="24"/>
      <c r="H924" s="24"/>
    </row>
    <row r="925" spans="1:8" ht="15" customHeight="1" x14ac:dyDescent="0.3">
      <c r="A925" s="34" t="s">
        <v>1980</v>
      </c>
      <c r="B925" s="35" t="s">
        <v>1981</v>
      </c>
      <c r="C925" s="35" t="s">
        <v>164</v>
      </c>
      <c r="D925" s="34" t="s">
        <v>155</v>
      </c>
      <c r="E925" s="34">
        <v>0</v>
      </c>
      <c r="F925" s="34">
        <v>1</v>
      </c>
      <c r="G925" s="34"/>
      <c r="H925" s="34"/>
    </row>
    <row r="926" spans="1:8" ht="15" customHeight="1" x14ac:dyDescent="0.3">
      <c r="A926" s="24" t="s">
        <v>1982</v>
      </c>
      <c r="B926" s="23" t="s">
        <v>1983</v>
      </c>
      <c r="C926" s="23" t="s">
        <v>225</v>
      </c>
      <c r="D926" s="24" t="s">
        <v>155</v>
      </c>
      <c r="E926" s="24">
        <v>0</v>
      </c>
      <c r="F926" s="24">
        <v>1</v>
      </c>
      <c r="G926" s="24"/>
      <c r="H926" s="24"/>
    </row>
    <row r="927" spans="1:8" ht="15" customHeight="1" x14ac:dyDescent="0.3">
      <c r="A927" s="34" t="s">
        <v>1984</v>
      </c>
      <c r="B927" s="35" t="s">
        <v>1985</v>
      </c>
      <c r="C927" s="35" t="s">
        <v>225</v>
      </c>
      <c r="D927" s="34" t="s">
        <v>155</v>
      </c>
      <c r="E927" s="34">
        <v>0</v>
      </c>
      <c r="F927" s="34">
        <v>1</v>
      </c>
      <c r="G927" s="34"/>
      <c r="H927" s="34"/>
    </row>
    <row r="928" spans="1:8" ht="15" customHeight="1" x14ac:dyDescent="0.3">
      <c r="A928" s="24" t="s">
        <v>1986</v>
      </c>
      <c r="B928" s="23" t="s">
        <v>1987</v>
      </c>
      <c r="C928" s="23" t="s">
        <v>198</v>
      </c>
      <c r="D928" s="24" t="s">
        <v>155</v>
      </c>
      <c r="E928" s="24">
        <v>417</v>
      </c>
      <c r="F928" s="24">
        <v>13</v>
      </c>
      <c r="G928" s="24"/>
      <c r="H928" s="24"/>
    </row>
    <row r="929" spans="1:8" ht="15" customHeight="1" x14ac:dyDescent="0.3">
      <c r="A929" s="34" t="s">
        <v>1988</v>
      </c>
      <c r="B929" s="35" t="s">
        <v>1989</v>
      </c>
      <c r="C929" s="35" t="s">
        <v>198</v>
      </c>
      <c r="D929" s="34" t="s">
        <v>155</v>
      </c>
      <c r="E929" s="34">
        <v>0</v>
      </c>
      <c r="F929" s="34">
        <v>1</v>
      </c>
      <c r="G929" s="34"/>
      <c r="H929" s="34"/>
    </row>
    <row r="930" spans="1:8" ht="15" customHeight="1" x14ac:dyDescent="0.3">
      <c r="A930" s="24" t="s">
        <v>1990</v>
      </c>
      <c r="B930" s="23" t="s">
        <v>1991</v>
      </c>
      <c r="C930" s="23" t="s">
        <v>833</v>
      </c>
      <c r="D930" s="24" t="s">
        <v>155</v>
      </c>
      <c r="E930" s="24">
        <v>0</v>
      </c>
      <c r="F930" s="24">
        <v>1</v>
      </c>
      <c r="G930" s="24"/>
      <c r="H930" s="24"/>
    </row>
    <row r="931" spans="1:8" ht="15" customHeight="1" x14ac:dyDescent="0.3">
      <c r="A931" s="34" t="s">
        <v>1992</v>
      </c>
      <c r="B931" s="35" t="s">
        <v>1993</v>
      </c>
      <c r="C931" s="35" t="s">
        <v>833</v>
      </c>
      <c r="D931" s="34" t="s">
        <v>155</v>
      </c>
      <c r="E931" s="34">
        <v>0</v>
      </c>
      <c r="F931" s="34">
        <v>1</v>
      </c>
      <c r="G931" s="34"/>
      <c r="H931" s="34"/>
    </row>
    <row r="932" spans="1:8" ht="15" customHeight="1" x14ac:dyDescent="0.3">
      <c r="A932" s="24" t="s">
        <v>1994</v>
      </c>
      <c r="B932" s="23" t="s">
        <v>1995</v>
      </c>
      <c r="C932" s="23" t="s">
        <v>158</v>
      </c>
      <c r="D932" s="24" t="s">
        <v>155</v>
      </c>
      <c r="E932" s="24">
        <v>0</v>
      </c>
      <c r="F932" s="24">
        <v>1</v>
      </c>
      <c r="G932" s="24"/>
      <c r="H932" s="24"/>
    </row>
    <row r="933" spans="1:8" ht="15" customHeight="1" x14ac:dyDescent="0.3">
      <c r="A933" s="34" t="s">
        <v>1996</v>
      </c>
      <c r="B933" s="35" t="s">
        <v>1997</v>
      </c>
      <c r="C933" s="35" t="s">
        <v>158</v>
      </c>
      <c r="D933" s="34" t="s">
        <v>155</v>
      </c>
      <c r="E933" s="34">
        <v>0</v>
      </c>
      <c r="F933" s="34">
        <v>2</v>
      </c>
      <c r="G933" s="34"/>
      <c r="H933" s="34"/>
    </row>
    <row r="934" spans="1:8" ht="15" customHeight="1" x14ac:dyDescent="0.3">
      <c r="A934" s="24" t="s">
        <v>1998</v>
      </c>
      <c r="B934" s="23" t="s">
        <v>1999</v>
      </c>
      <c r="C934" s="23" t="s">
        <v>158</v>
      </c>
      <c r="D934" s="24" t="s">
        <v>155</v>
      </c>
      <c r="E934" s="24">
        <v>0</v>
      </c>
      <c r="F934" s="24">
        <v>2</v>
      </c>
      <c r="G934" s="24"/>
      <c r="H934" s="24"/>
    </row>
    <row r="935" spans="1:8" ht="15" customHeight="1" x14ac:dyDescent="0.3">
      <c r="A935" s="34" t="s">
        <v>2000</v>
      </c>
      <c r="B935" s="35" t="s">
        <v>2001</v>
      </c>
      <c r="C935" s="35" t="s">
        <v>198</v>
      </c>
      <c r="D935" s="34" t="s">
        <v>155</v>
      </c>
      <c r="E935" s="34">
        <v>0</v>
      </c>
      <c r="F935" s="34">
        <v>2</v>
      </c>
      <c r="G935" s="34"/>
      <c r="H935" s="34"/>
    </row>
    <row r="936" spans="1:8" ht="15" customHeight="1" x14ac:dyDescent="0.3">
      <c r="A936" s="24" t="s">
        <v>2002</v>
      </c>
      <c r="B936" s="23" t="s">
        <v>2003</v>
      </c>
      <c r="C936" s="23" t="s">
        <v>171</v>
      </c>
      <c r="D936" s="24" t="s">
        <v>155</v>
      </c>
      <c r="E936" s="24">
        <v>0</v>
      </c>
      <c r="F936" s="24">
        <v>1</v>
      </c>
      <c r="G936" s="24"/>
      <c r="H936" s="24"/>
    </row>
    <row r="937" spans="1:8" ht="15" customHeight="1" x14ac:dyDescent="0.3">
      <c r="A937" s="34" t="s">
        <v>2004</v>
      </c>
      <c r="B937" s="35" t="s">
        <v>2005</v>
      </c>
      <c r="C937" s="35" t="s">
        <v>225</v>
      </c>
      <c r="D937" s="34" t="s">
        <v>155</v>
      </c>
      <c r="E937" s="34">
        <v>0</v>
      </c>
      <c r="F937" s="34">
        <v>2</v>
      </c>
      <c r="G937" s="34"/>
      <c r="H937" s="34"/>
    </row>
    <row r="938" spans="1:8" ht="15" customHeight="1" x14ac:dyDescent="0.3">
      <c r="A938" s="24" t="s">
        <v>2006</v>
      </c>
      <c r="B938" s="23" t="s">
        <v>2007</v>
      </c>
      <c r="C938" s="23" t="s">
        <v>589</v>
      </c>
      <c r="D938" s="24" t="s">
        <v>155</v>
      </c>
      <c r="E938" s="24">
        <v>0</v>
      </c>
      <c r="F938" s="24">
        <v>1</v>
      </c>
      <c r="G938" s="24"/>
      <c r="H938" s="24"/>
    </row>
    <row r="939" spans="1:8" ht="15" customHeight="1" x14ac:dyDescent="0.3">
      <c r="A939" s="34" t="s">
        <v>2008</v>
      </c>
      <c r="B939" s="35" t="s">
        <v>2009</v>
      </c>
      <c r="C939" s="35" t="s">
        <v>225</v>
      </c>
      <c r="D939" s="34" t="s">
        <v>155</v>
      </c>
      <c r="E939" s="34">
        <v>0</v>
      </c>
      <c r="F939" s="34">
        <v>1</v>
      </c>
      <c r="G939" s="34"/>
      <c r="H939" s="34"/>
    </row>
    <row r="940" spans="1:8" ht="15" customHeight="1" x14ac:dyDescent="0.3">
      <c r="A940" s="24" t="s">
        <v>2010</v>
      </c>
      <c r="B940" s="23" t="s">
        <v>2011</v>
      </c>
      <c r="C940" s="23" t="s">
        <v>198</v>
      </c>
      <c r="D940" s="24" t="s">
        <v>155</v>
      </c>
      <c r="E940" s="24">
        <v>0</v>
      </c>
      <c r="F940" s="24">
        <v>1</v>
      </c>
      <c r="G940" s="24"/>
      <c r="H940" s="24"/>
    </row>
    <row r="941" spans="1:8" ht="15" customHeight="1" x14ac:dyDescent="0.3">
      <c r="A941" s="34" t="s">
        <v>2012</v>
      </c>
      <c r="B941" s="35" t="s">
        <v>2013</v>
      </c>
      <c r="C941" s="35" t="s">
        <v>216</v>
      </c>
      <c r="D941" s="34" t="s">
        <v>155</v>
      </c>
      <c r="E941" s="34">
        <v>0</v>
      </c>
      <c r="F941" s="34">
        <v>1</v>
      </c>
      <c r="G941" s="34"/>
      <c r="H941" s="34"/>
    </row>
    <row r="942" spans="1:8" ht="15" customHeight="1" x14ac:dyDescent="0.3">
      <c r="A942" s="24" t="s">
        <v>2014</v>
      </c>
      <c r="B942" s="23" t="s">
        <v>2015</v>
      </c>
      <c r="C942" s="23" t="s">
        <v>561</v>
      </c>
      <c r="D942" s="24" t="s">
        <v>155</v>
      </c>
      <c r="E942" s="24">
        <v>0</v>
      </c>
      <c r="F942" s="24">
        <v>1</v>
      </c>
      <c r="G942" s="24"/>
      <c r="H942" s="24"/>
    </row>
    <row r="943" spans="1:8" ht="15" customHeight="1" x14ac:dyDescent="0.3">
      <c r="A943" s="34" t="s">
        <v>51</v>
      </c>
      <c r="B943" s="35" t="s">
        <v>2016</v>
      </c>
      <c r="C943" s="35" t="s">
        <v>158</v>
      </c>
      <c r="D943" s="34" t="s">
        <v>155</v>
      </c>
      <c r="E943" s="34">
        <v>90</v>
      </c>
      <c r="F943" s="34">
        <v>9</v>
      </c>
      <c r="G943" s="34">
        <v>64</v>
      </c>
      <c r="H943" s="34">
        <v>8</v>
      </c>
    </row>
    <row r="944" spans="1:8" ht="15" customHeight="1" x14ac:dyDescent="0.3">
      <c r="A944" s="24" t="s">
        <v>50</v>
      </c>
      <c r="B944" s="23" t="s">
        <v>2017</v>
      </c>
      <c r="C944" s="35" t="s">
        <v>158</v>
      </c>
      <c r="D944" s="24" t="s">
        <v>155</v>
      </c>
      <c r="E944" s="24">
        <v>383</v>
      </c>
      <c r="F944" s="24">
        <v>11</v>
      </c>
      <c r="G944" s="24">
        <v>291</v>
      </c>
      <c r="H944" s="24">
        <v>31</v>
      </c>
    </row>
  </sheetData>
  <autoFilter ref="A2:H944" xr:uid="{00000000-0001-0000-0600-000000000000}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69CC-426F-43C6-9482-87119306C516}">
  <sheetPr>
    <tabColor theme="6" tint="0.59999389629810485"/>
  </sheetPr>
  <dimension ref="A1:Q31"/>
  <sheetViews>
    <sheetView topLeftCell="E3" workbookViewId="0">
      <selection activeCell="D15" sqref="D15"/>
    </sheetView>
  </sheetViews>
  <sheetFormatPr baseColWidth="10" defaultRowHeight="14.4" x14ac:dyDescent="0.3"/>
  <sheetData>
    <row r="1" spans="1:17" ht="17.399999999999999" x14ac:dyDescent="0.3">
      <c r="A1" s="80" t="s">
        <v>2022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7" ht="41.4" x14ac:dyDescent="0.3">
      <c r="A2" s="63" t="s">
        <v>25</v>
      </c>
      <c r="B2" s="63" t="s">
        <v>2023</v>
      </c>
      <c r="C2" s="63" t="s">
        <v>2024</v>
      </c>
      <c r="D2" s="63" t="s">
        <v>2025</v>
      </c>
      <c r="E2" s="63" t="s">
        <v>2033</v>
      </c>
      <c r="F2" s="63" t="s">
        <v>2026</v>
      </c>
      <c r="G2" s="63"/>
      <c r="H2" s="63" t="s">
        <v>2027</v>
      </c>
      <c r="I2" s="63"/>
      <c r="J2" s="63" t="s">
        <v>2028</v>
      </c>
      <c r="K2" s="63"/>
      <c r="L2" s="63" t="s">
        <v>2029</v>
      </c>
      <c r="M2" s="63"/>
      <c r="N2" s="63" t="s">
        <v>2030</v>
      </c>
      <c r="O2" s="63"/>
    </row>
    <row r="3" spans="1:17" x14ac:dyDescent="0.3">
      <c r="A3" s="70"/>
      <c r="B3" s="70"/>
      <c r="C3" s="70"/>
      <c r="D3" s="70" t="s">
        <v>26</v>
      </c>
      <c r="E3" s="70" t="s">
        <v>2031</v>
      </c>
      <c r="F3" s="70" t="s">
        <v>26</v>
      </c>
      <c r="G3" s="70" t="s">
        <v>2031</v>
      </c>
      <c r="H3" s="70" t="s">
        <v>26</v>
      </c>
      <c r="I3" s="70" t="s">
        <v>2031</v>
      </c>
      <c r="J3" s="70" t="s">
        <v>26</v>
      </c>
      <c r="K3" s="70" t="s">
        <v>2031</v>
      </c>
      <c r="L3" s="70" t="s">
        <v>26</v>
      </c>
      <c r="M3" s="70" t="s">
        <v>2031</v>
      </c>
      <c r="N3" s="70" t="s">
        <v>26</v>
      </c>
      <c r="O3" s="70" t="s">
        <v>2031</v>
      </c>
    </row>
    <row r="4" spans="1:17" x14ac:dyDescent="0.3">
      <c r="A4" s="64">
        <v>2014</v>
      </c>
      <c r="B4" s="64">
        <f>+COUNTIF('📁 Panel DAES'!$D$3:$D$135,'Cobertura de Datos'!A4)</f>
        <v>2</v>
      </c>
      <c r="C4" s="64">
        <v>35</v>
      </c>
      <c r="D4" s="64">
        <f>COUNTIFS('📁 Panel DAES'!$D$3:$D$135,'Cobertura de Datos'!A4, '📁 Panel DAES'!$E$3:$E$135,"&lt;&gt;")</f>
        <v>2</v>
      </c>
      <c r="E4" s="65">
        <f>+(D4/B4)</f>
        <v>1</v>
      </c>
      <c r="F4" s="64">
        <f>COUNTIFS('📁 Panel DAES'!$D$3:$D$135,'Cobertura de Datos'!A4, '📁 Panel DAES'!$D$3:$D$135,"&lt;&gt;")</f>
        <v>2</v>
      </c>
      <c r="G4" s="65">
        <f>+F4/C4</f>
        <v>5.7142857142857141E-2</v>
      </c>
      <c r="H4" s="64">
        <f>COUNTIFS('📁 Panel DAES'!$D$3:$D$135,'Cobertura de Datos'!A4, '📁 Panel DAES'!$M$3:$M$135,"&lt;&gt;")</f>
        <v>2</v>
      </c>
      <c r="I4" s="65">
        <f>+H4/C4</f>
        <v>5.7142857142857141E-2</v>
      </c>
      <c r="J4" s="64">
        <f>COUNTIFS('📁 Panel DAES'!$D$3:$D$135,'Cobertura de Datos'!A4, '📁 Panel DAES'!$N$3:$N$135,"&lt;&gt;")</f>
        <v>2</v>
      </c>
      <c r="K4" s="65">
        <f>+J4/C4</f>
        <v>5.7142857142857141E-2</v>
      </c>
      <c r="L4" s="64">
        <f>COUNTIFS('📁 Panel DAES'!$D$3:$D$135,'Cobertura de Datos'!A4, '📁 Panel DAES'!$K$3:$K$135,"&lt;&gt;")</f>
        <v>2</v>
      </c>
      <c r="M4" s="65">
        <f>+L4/C4</f>
        <v>5.7142857142857141E-2</v>
      </c>
      <c r="N4" s="64">
        <f>COUNTIFS('📁 Panel DAES'!$D$3:$D$135,'Cobertura de Datos'!A4, '📁 Panel DAES'!$L$3:$L$135,"&lt;&gt;")</f>
        <v>2</v>
      </c>
      <c r="O4" s="65">
        <f>+N4/C4</f>
        <v>5.7142857142857141E-2</v>
      </c>
    </row>
    <row r="5" spans="1:17" x14ac:dyDescent="0.3">
      <c r="A5" s="10">
        <v>2015</v>
      </c>
      <c r="B5" s="10">
        <f>+COUNTIF('📁 Panel DAES'!$D$3:$D$135,'Cobertura de Datos'!A5)</f>
        <v>8</v>
      </c>
      <c r="C5" s="10">
        <v>35</v>
      </c>
      <c r="D5" s="10">
        <f>COUNTIFS('📁 Panel DAES'!$D$3:$D$135,'Cobertura de Datos'!A5, '📁 Panel DAES'!$E$3:$E$135,"&lt;&gt;")</f>
        <v>8</v>
      </c>
      <c r="E5" s="60">
        <f t="shared" ref="E5:E14" si="0">+(D5/B5)</f>
        <v>1</v>
      </c>
      <c r="F5" s="10">
        <f>COUNTIFS('📁 Panel DAES'!$D$3:$D$135,'Cobertura de Datos'!A5, '📁 Panel DAES'!$D$3:$D$135,"&lt;&gt;")</f>
        <v>8</v>
      </c>
      <c r="G5" s="60">
        <f t="shared" ref="G5:G14" si="1">+F5/C5</f>
        <v>0.22857142857142856</v>
      </c>
      <c r="H5" s="10">
        <f>COUNTIFS('📁 Panel DAES'!$D$3:$D$135,'Cobertura de Datos'!A5, '📁 Panel DAES'!$M$3:$M$135,"&lt;&gt;")</f>
        <v>7</v>
      </c>
      <c r="I5" s="60">
        <f t="shared" ref="I5:I14" si="2">+H5/C5</f>
        <v>0.2</v>
      </c>
      <c r="J5" s="10">
        <f>COUNTIFS('📁 Panel DAES'!$D$3:$D$135,'Cobertura de Datos'!A5, '📁 Panel DAES'!$N$3:$N$135,"&lt;&gt;")</f>
        <v>7</v>
      </c>
      <c r="K5" s="60">
        <f t="shared" ref="K5:K14" si="3">+J5/C5</f>
        <v>0.2</v>
      </c>
      <c r="L5" s="10">
        <f>COUNTIFS('📁 Panel DAES'!$D$3:$D$135,'Cobertura de Datos'!A5, '📁 Panel DAES'!$K$3:$K$135,"&lt;&gt;")</f>
        <v>7</v>
      </c>
      <c r="M5" s="60">
        <f t="shared" ref="M5:M14" si="4">+L5/C5</f>
        <v>0.2</v>
      </c>
      <c r="N5" s="10">
        <f>COUNTIFS('📁 Panel DAES'!$D$3:$D$135,'Cobertura de Datos'!A5, '📁 Panel DAES'!$L$3:$L$135,"&lt;&gt;")</f>
        <v>7</v>
      </c>
      <c r="O5" s="60">
        <f t="shared" ref="O5:O14" si="5">+N5/C5</f>
        <v>0.2</v>
      </c>
    </row>
    <row r="6" spans="1:17" x14ac:dyDescent="0.3">
      <c r="A6" s="4">
        <v>2016</v>
      </c>
      <c r="B6" s="4">
        <f>+COUNTIF('📁 Panel DAES'!$D$3:$D$135,'Cobertura de Datos'!A6)</f>
        <v>10</v>
      </c>
      <c r="C6" s="4">
        <v>35</v>
      </c>
      <c r="D6" s="4">
        <f>COUNTIFS('📁 Panel DAES'!$D$3:$D$135,'Cobertura de Datos'!A6, '📁 Panel DAES'!$E$3:$E$135,"&lt;&gt;")</f>
        <v>10</v>
      </c>
      <c r="E6" s="59">
        <f t="shared" si="0"/>
        <v>1</v>
      </c>
      <c r="F6" s="4">
        <f>COUNTIFS('📁 Panel DAES'!$D$3:$D$135,'Cobertura de Datos'!A6, '📁 Panel DAES'!$D$3:$D$135,"&lt;&gt;")</f>
        <v>10</v>
      </c>
      <c r="G6" s="59">
        <f t="shared" si="1"/>
        <v>0.2857142857142857</v>
      </c>
      <c r="H6" s="4">
        <f>COUNTIFS('📁 Panel DAES'!$D$3:$D$135,'Cobertura de Datos'!A6, '📁 Panel DAES'!$M$3:$M$135,"&lt;&gt;")</f>
        <v>7</v>
      </c>
      <c r="I6" s="59">
        <f t="shared" si="2"/>
        <v>0.2</v>
      </c>
      <c r="J6" s="4">
        <f>COUNTIFS('📁 Panel DAES'!$D$3:$D$135,'Cobertura de Datos'!A6, '📁 Panel DAES'!$N$3:$N$135,"&lt;&gt;")</f>
        <v>7</v>
      </c>
      <c r="K6" s="59">
        <f t="shared" si="3"/>
        <v>0.2</v>
      </c>
      <c r="L6" s="4">
        <f>COUNTIFS('📁 Panel DAES'!$D$3:$D$135,'Cobertura de Datos'!A6, '📁 Panel DAES'!$K$3:$K$135,"&lt;&gt;")</f>
        <v>7</v>
      </c>
      <c r="M6" s="59">
        <f t="shared" si="4"/>
        <v>0.2</v>
      </c>
      <c r="N6" s="4">
        <f>COUNTIFS('📁 Panel DAES'!$D$3:$D$135,'Cobertura de Datos'!A6, '📁 Panel DAES'!$L$3:$L$135,"&lt;&gt;")</f>
        <v>7</v>
      </c>
      <c r="O6" s="59">
        <f t="shared" si="5"/>
        <v>0.2</v>
      </c>
    </row>
    <row r="7" spans="1:17" x14ac:dyDescent="0.3">
      <c r="A7" s="10">
        <v>2017</v>
      </c>
      <c r="B7" s="10">
        <f>+COUNTIF('📁 Panel DAES'!$D$3:$D$135,'Cobertura de Datos'!A7)</f>
        <v>14</v>
      </c>
      <c r="C7" s="10">
        <v>35</v>
      </c>
      <c r="D7" s="10">
        <f>COUNTIFS('📁 Panel DAES'!$D$3:$D$135,'Cobertura de Datos'!A7, '📁 Panel DAES'!$E$3:$E$135,"&lt;&gt;")</f>
        <v>12</v>
      </c>
      <c r="E7" s="60">
        <f t="shared" si="0"/>
        <v>0.8571428571428571</v>
      </c>
      <c r="F7" s="10">
        <f>COUNTIFS('📁 Panel DAES'!$D$3:$D$135,'Cobertura de Datos'!A7, '📁 Panel DAES'!$D$3:$D$135,"&lt;&gt;")</f>
        <v>14</v>
      </c>
      <c r="G7" s="60">
        <f t="shared" si="1"/>
        <v>0.4</v>
      </c>
      <c r="H7" s="10">
        <f>COUNTIFS('📁 Panel DAES'!$D$3:$D$135,'Cobertura de Datos'!A7, '📁 Panel DAES'!$M$3:$M$135,"&lt;&gt;")</f>
        <v>8</v>
      </c>
      <c r="I7" s="60">
        <f t="shared" si="2"/>
        <v>0.22857142857142856</v>
      </c>
      <c r="J7" s="10">
        <f>COUNTIFS('📁 Panel DAES'!$D$3:$D$135,'Cobertura de Datos'!A7, '📁 Panel DAES'!$N$3:$N$135,"&lt;&gt;")</f>
        <v>8</v>
      </c>
      <c r="K7" s="60">
        <f t="shared" si="3"/>
        <v>0.22857142857142856</v>
      </c>
      <c r="L7" s="10">
        <f>COUNTIFS('📁 Panel DAES'!$D$3:$D$135,'Cobertura de Datos'!A7, '📁 Panel DAES'!$K$3:$K$135,"&lt;&gt;")</f>
        <v>11</v>
      </c>
      <c r="M7" s="60">
        <f t="shared" si="4"/>
        <v>0.31428571428571428</v>
      </c>
      <c r="N7" s="10">
        <f>COUNTIFS('📁 Panel DAES'!$D$3:$D$135,'Cobertura de Datos'!A7, '📁 Panel DAES'!$L$3:$L$135,"&lt;&gt;")</f>
        <v>11</v>
      </c>
      <c r="O7" s="60">
        <f t="shared" si="5"/>
        <v>0.31428571428571428</v>
      </c>
    </row>
    <row r="8" spans="1:17" x14ac:dyDescent="0.3">
      <c r="A8" s="4">
        <v>2018</v>
      </c>
      <c r="B8" s="4">
        <f>+COUNTIF('📁 Panel DAES'!$D$3:$D$135,'Cobertura de Datos'!A8)</f>
        <v>16</v>
      </c>
      <c r="C8" s="4">
        <v>35</v>
      </c>
      <c r="D8" s="4">
        <f>COUNTIFS('📁 Panel DAES'!$D$3:$D$135,'Cobertura de Datos'!A8, '📁 Panel DAES'!$E$3:$E$135,"&lt;&gt;")</f>
        <v>14</v>
      </c>
      <c r="E8" s="59">
        <f t="shared" si="0"/>
        <v>0.875</v>
      </c>
      <c r="F8" s="4">
        <f>COUNTIFS('📁 Panel DAES'!$D$3:$D$135,'Cobertura de Datos'!A8, '📁 Panel DAES'!$D$3:$D$135,"&lt;&gt;")</f>
        <v>16</v>
      </c>
      <c r="G8" s="59">
        <f t="shared" si="1"/>
        <v>0.45714285714285713</v>
      </c>
      <c r="H8" s="4">
        <f>COUNTIFS('📁 Panel DAES'!$D$3:$D$135,'Cobertura de Datos'!A8, '📁 Panel DAES'!$M$3:$M$135,"&lt;&gt;")</f>
        <v>11</v>
      </c>
      <c r="I8" s="59">
        <f t="shared" si="2"/>
        <v>0.31428571428571428</v>
      </c>
      <c r="J8" s="4">
        <f>COUNTIFS('📁 Panel DAES'!$D$3:$D$135,'Cobertura de Datos'!A8, '📁 Panel DAES'!$N$3:$N$135,"&lt;&gt;")</f>
        <v>12</v>
      </c>
      <c r="K8" s="59">
        <f t="shared" si="3"/>
        <v>0.34285714285714286</v>
      </c>
      <c r="L8" s="4">
        <f>COUNTIFS('📁 Panel DAES'!$D$3:$D$135,'Cobertura de Datos'!A8, '📁 Panel DAES'!$K$3:$K$135,"&lt;&gt;")</f>
        <v>15</v>
      </c>
      <c r="M8" s="59">
        <f t="shared" si="4"/>
        <v>0.42857142857142855</v>
      </c>
      <c r="N8" s="4">
        <f>COUNTIFS('📁 Panel DAES'!$D$3:$D$135,'Cobertura de Datos'!A8, '📁 Panel DAES'!$L$3:$L$135,"&lt;&gt;")</f>
        <v>14</v>
      </c>
      <c r="O8" s="59">
        <f t="shared" si="5"/>
        <v>0.4</v>
      </c>
    </row>
    <row r="9" spans="1:17" x14ac:dyDescent="0.3">
      <c r="A9" s="10">
        <v>2019</v>
      </c>
      <c r="B9" s="10">
        <f>+COUNTIF('📁 Panel DAES'!$D$3:$D$135,'Cobertura de Datos'!A9)</f>
        <v>6</v>
      </c>
      <c r="C9" s="10">
        <v>35</v>
      </c>
      <c r="D9" s="10">
        <f>COUNTIFS('📁 Panel DAES'!$D$3:$D$135,'Cobertura de Datos'!A9, '📁 Panel DAES'!$E$3:$E$135,"&lt;&gt;")</f>
        <v>6</v>
      </c>
      <c r="E9" s="60">
        <f t="shared" si="0"/>
        <v>1</v>
      </c>
      <c r="F9" s="10">
        <f>COUNTIFS('📁 Panel DAES'!$D$3:$D$135,'Cobertura de Datos'!A9, '📁 Panel DAES'!$D$3:$D$135,"&lt;&gt;")</f>
        <v>6</v>
      </c>
      <c r="G9" s="60">
        <f t="shared" si="1"/>
        <v>0.17142857142857143</v>
      </c>
      <c r="H9" s="10">
        <f>COUNTIFS('📁 Panel DAES'!$D$3:$D$135,'Cobertura de Datos'!A9, '📁 Panel DAES'!$M$3:$M$135,"&lt;&gt;")</f>
        <v>6</v>
      </c>
      <c r="I9" s="60">
        <f t="shared" si="2"/>
        <v>0.17142857142857143</v>
      </c>
      <c r="J9" s="10">
        <f>COUNTIFS('📁 Panel DAES'!$D$3:$D$135,'Cobertura de Datos'!A9, '📁 Panel DAES'!$N$3:$N$135,"&lt;&gt;")</f>
        <v>6</v>
      </c>
      <c r="K9" s="60">
        <f t="shared" si="3"/>
        <v>0.17142857142857143</v>
      </c>
      <c r="L9" s="10">
        <f>COUNTIFS('📁 Panel DAES'!$D$3:$D$135,'Cobertura de Datos'!A9, '📁 Panel DAES'!$K$3:$K$135,"&lt;&gt;")</f>
        <v>6</v>
      </c>
      <c r="M9" s="60">
        <f t="shared" si="4"/>
        <v>0.17142857142857143</v>
      </c>
      <c r="N9" s="10">
        <f>COUNTIFS('📁 Panel DAES'!$D$3:$D$135,'Cobertura de Datos'!A9, '📁 Panel DAES'!$L$3:$L$135,"&lt;&gt;")</f>
        <v>6</v>
      </c>
      <c r="O9" s="60">
        <f t="shared" si="5"/>
        <v>0.17142857142857143</v>
      </c>
    </row>
    <row r="10" spans="1:17" x14ac:dyDescent="0.3">
      <c r="A10" s="4">
        <v>2020</v>
      </c>
      <c r="B10" s="4">
        <f>+COUNTIF('📁 Panel DAES'!$D$3:$D$135,'Cobertura de Datos'!A10)</f>
        <v>10</v>
      </c>
      <c r="C10" s="4">
        <v>35</v>
      </c>
      <c r="D10" s="4">
        <f>COUNTIFS('📁 Panel DAES'!$D$3:$D$135,'Cobertura de Datos'!A10, '📁 Panel DAES'!$E$3:$E$135,"&lt;&gt;")</f>
        <v>10</v>
      </c>
      <c r="E10" s="59">
        <f t="shared" si="0"/>
        <v>1</v>
      </c>
      <c r="F10" s="4">
        <f>COUNTIFS('📁 Panel DAES'!$D$3:$D$135,'Cobertura de Datos'!A10, '📁 Panel DAES'!$D$3:$D$135,"&lt;&gt;")</f>
        <v>10</v>
      </c>
      <c r="G10" s="59">
        <f t="shared" si="1"/>
        <v>0.2857142857142857</v>
      </c>
      <c r="H10" s="4">
        <f>COUNTIFS('📁 Panel DAES'!$D$3:$D$135,'Cobertura de Datos'!A10, '📁 Panel DAES'!$M$3:$M$135,"&lt;&gt;")</f>
        <v>9</v>
      </c>
      <c r="I10" s="59">
        <f t="shared" si="2"/>
        <v>0.25714285714285712</v>
      </c>
      <c r="J10" s="4">
        <f>COUNTIFS('📁 Panel DAES'!$D$3:$D$135,'Cobertura de Datos'!A10, '📁 Panel DAES'!$N$3:$N$135,"&lt;&gt;")</f>
        <v>9</v>
      </c>
      <c r="K10" s="59">
        <f t="shared" si="3"/>
        <v>0.25714285714285712</v>
      </c>
      <c r="L10" s="4">
        <f>COUNTIFS('📁 Panel DAES'!$D$3:$D$135,'Cobertura de Datos'!A10, '📁 Panel DAES'!$K$3:$K$135,"&lt;&gt;")</f>
        <v>9</v>
      </c>
      <c r="M10" s="59">
        <f t="shared" si="4"/>
        <v>0.25714285714285712</v>
      </c>
      <c r="N10" s="4">
        <f>COUNTIFS('📁 Panel DAES'!$D$3:$D$135,'Cobertura de Datos'!A10, '📁 Panel DAES'!$L$3:$L$135,"&lt;&gt;")</f>
        <v>9</v>
      </c>
      <c r="O10" s="59">
        <f t="shared" si="5"/>
        <v>0.25714285714285712</v>
      </c>
    </row>
    <row r="11" spans="1:17" x14ac:dyDescent="0.3">
      <c r="A11" s="10">
        <v>2021</v>
      </c>
      <c r="B11" s="10">
        <f>+COUNTIF('📁 Panel DAES'!$D$3:$D$135,'Cobertura de Datos'!A11)</f>
        <v>11</v>
      </c>
      <c r="C11" s="10">
        <v>35</v>
      </c>
      <c r="D11" s="10">
        <f>COUNTIFS('📁 Panel DAES'!$D$3:$D$135,'Cobertura de Datos'!A11, '📁 Panel DAES'!$E$3:$E$135,"&lt;&gt;")</f>
        <v>11</v>
      </c>
      <c r="E11" s="60">
        <f t="shared" si="0"/>
        <v>1</v>
      </c>
      <c r="F11" s="10">
        <f>COUNTIFS('📁 Panel DAES'!$D$3:$D$135,'Cobertura de Datos'!A11, '📁 Panel DAES'!$D$3:$D$135,"&lt;&gt;")</f>
        <v>11</v>
      </c>
      <c r="G11" s="60">
        <f t="shared" si="1"/>
        <v>0.31428571428571428</v>
      </c>
      <c r="H11" s="10">
        <f>COUNTIFS('📁 Panel DAES'!$D$3:$D$135,'Cobertura de Datos'!A11, '📁 Panel DAES'!$M$3:$M$135,"&lt;&gt;")</f>
        <v>9</v>
      </c>
      <c r="I11" s="60">
        <f t="shared" si="2"/>
        <v>0.25714285714285712</v>
      </c>
      <c r="J11" s="10">
        <f>COUNTIFS('📁 Panel DAES'!$D$3:$D$135,'Cobertura de Datos'!A11, '📁 Panel DAES'!$N$3:$N$135,"&lt;&gt;")</f>
        <v>8</v>
      </c>
      <c r="K11" s="60">
        <f t="shared" si="3"/>
        <v>0.22857142857142856</v>
      </c>
      <c r="L11" s="10">
        <f>COUNTIFS('📁 Panel DAES'!$D$3:$D$135,'Cobertura de Datos'!A11, '📁 Panel DAES'!$K$3:$K$135,"&lt;&gt;")</f>
        <v>9</v>
      </c>
      <c r="M11" s="60">
        <f t="shared" si="4"/>
        <v>0.25714285714285712</v>
      </c>
      <c r="N11" s="10">
        <f>COUNTIFS('📁 Panel DAES'!$D$3:$D$135,'Cobertura de Datos'!A11, '📁 Panel DAES'!$L$3:$L$135,"&lt;&gt;")</f>
        <v>9</v>
      </c>
      <c r="O11" s="60">
        <f t="shared" si="5"/>
        <v>0.25714285714285712</v>
      </c>
    </row>
    <row r="12" spans="1:17" x14ac:dyDescent="0.3">
      <c r="A12" s="4">
        <v>2022</v>
      </c>
      <c r="B12" s="4">
        <f>+COUNTIF('📁 Panel DAES'!$D$3:$D$135,'Cobertura de Datos'!A12)</f>
        <v>20</v>
      </c>
      <c r="C12" s="4">
        <v>35</v>
      </c>
      <c r="D12" s="4">
        <f>COUNTIFS('📁 Panel DAES'!$D$3:$D$135,'Cobertura de Datos'!A12, '📁 Panel DAES'!$E$3:$E$135,"&lt;&gt;")</f>
        <v>20</v>
      </c>
      <c r="E12" s="59">
        <f t="shared" si="0"/>
        <v>1</v>
      </c>
      <c r="F12" s="4">
        <f>COUNTIFS('📁 Panel DAES'!$D$3:$D$135,'Cobertura de Datos'!A12, '📁 Panel DAES'!$D$3:$D$135,"&lt;&gt;")</f>
        <v>20</v>
      </c>
      <c r="G12" s="59">
        <f t="shared" si="1"/>
        <v>0.5714285714285714</v>
      </c>
      <c r="H12" s="4">
        <f>COUNTIFS('📁 Panel DAES'!$D$3:$D$135,'Cobertura de Datos'!A12, '📁 Panel DAES'!$M$3:$M$135,"&lt;&gt;")</f>
        <v>16</v>
      </c>
      <c r="I12" s="59">
        <f t="shared" si="2"/>
        <v>0.45714285714285713</v>
      </c>
      <c r="J12" s="4">
        <f>COUNTIFS('📁 Panel DAES'!$D$3:$D$135,'Cobertura de Datos'!A12, '📁 Panel DAES'!$N$3:$N$135,"&lt;&gt;")</f>
        <v>16</v>
      </c>
      <c r="K12" s="59">
        <f t="shared" si="3"/>
        <v>0.45714285714285713</v>
      </c>
      <c r="L12" s="4">
        <f>COUNTIFS('📁 Panel DAES'!$D$3:$D$135,'Cobertura de Datos'!A12, '📁 Panel DAES'!$K$3:$K$135,"&lt;&gt;")</f>
        <v>17</v>
      </c>
      <c r="M12" s="59">
        <f t="shared" si="4"/>
        <v>0.48571428571428571</v>
      </c>
      <c r="N12" s="4">
        <f>COUNTIFS('📁 Panel DAES'!$D$3:$D$135,'Cobertura de Datos'!A12, '📁 Panel DAES'!$L$3:$L$135,"&lt;&gt;")</f>
        <v>17</v>
      </c>
      <c r="O12" s="59">
        <f t="shared" si="5"/>
        <v>0.48571428571428571</v>
      </c>
    </row>
    <row r="13" spans="1:17" x14ac:dyDescent="0.3">
      <c r="A13" s="10">
        <v>2023</v>
      </c>
      <c r="B13" s="10">
        <f>+COUNTIF('📁 Panel DAES'!$D$3:$D$135,'Cobertura de Datos'!A13)</f>
        <v>24</v>
      </c>
      <c r="C13" s="10">
        <v>35</v>
      </c>
      <c r="D13" s="10">
        <f>COUNTIFS('📁 Panel DAES'!$D$3:$D$135,'Cobertura de Datos'!A13, '📁 Panel DAES'!$E$3:$E$135,"&lt;&gt;")</f>
        <v>24</v>
      </c>
      <c r="E13" s="60">
        <f t="shared" si="0"/>
        <v>1</v>
      </c>
      <c r="F13" s="10">
        <f>COUNTIFS('📁 Panel DAES'!$D$3:$D$135,'Cobertura de Datos'!A13, '📁 Panel DAES'!$D$3:$D$135,"&lt;&gt;")</f>
        <v>24</v>
      </c>
      <c r="G13" s="60">
        <f t="shared" si="1"/>
        <v>0.68571428571428572</v>
      </c>
      <c r="H13" s="10">
        <f>COUNTIFS('📁 Panel DAES'!$D$3:$D$135,'Cobertura de Datos'!A13, '📁 Panel DAES'!$M$3:$M$135,"&lt;&gt;")</f>
        <v>20</v>
      </c>
      <c r="I13" s="60">
        <f t="shared" si="2"/>
        <v>0.5714285714285714</v>
      </c>
      <c r="J13" s="10">
        <f>COUNTIFS('📁 Panel DAES'!$D$3:$D$135,'Cobertura de Datos'!A13, '📁 Panel DAES'!$N$3:$N$135,"&lt;&gt;")</f>
        <v>20</v>
      </c>
      <c r="K13" s="60">
        <f t="shared" si="3"/>
        <v>0.5714285714285714</v>
      </c>
      <c r="L13" s="10">
        <f>COUNTIFS('📁 Panel DAES'!$D$3:$D$135,'Cobertura de Datos'!A13, '📁 Panel DAES'!$K$3:$K$135,"&lt;&gt;")</f>
        <v>22</v>
      </c>
      <c r="M13" s="60">
        <f t="shared" si="4"/>
        <v>0.62857142857142856</v>
      </c>
      <c r="N13" s="10">
        <f>COUNTIFS('📁 Panel DAES'!$D$3:$D$135,'Cobertura de Datos'!A13, '📁 Panel DAES'!$L$3:$L$135,"&lt;&gt;")</f>
        <v>22</v>
      </c>
      <c r="O13" s="60">
        <f t="shared" si="5"/>
        <v>0.62857142857142856</v>
      </c>
    </row>
    <row r="14" spans="1:17" x14ac:dyDescent="0.3">
      <c r="A14" s="4">
        <v>2024</v>
      </c>
      <c r="B14" s="4">
        <f>+COUNTIF('📁 Panel DAES'!$D$3:$D$135,'Cobertura de Datos'!A14)</f>
        <v>12</v>
      </c>
      <c r="C14" s="4">
        <v>35</v>
      </c>
      <c r="D14" s="4">
        <f>COUNTIFS('📁 Panel DAES'!$D$3:$D$135,'Cobertura de Datos'!A14, '📁 Panel DAES'!$E$3:$E$135,"&lt;&gt;")</f>
        <v>12</v>
      </c>
      <c r="E14" s="59">
        <f t="shared" si="0"/>
        <v>1</v>
      </c>
      <c r="F14" s="4">
        <f>COUNTIFS('📁 Panel DAES'!$D$3:$D$135,'Cobertura de Datos'!A14, '📁 Panel DAES'!$D$3:$D$135,"&lt;&gt;")</f>
        <v>12</v>
      </c>
      <c r="G14" s="59">
        <f t="shared" si="1"/>
        <v>0.34285714285714286</v>
      </c>
      <c r="H14" s="4">
        <f>COUNTIFS('📁 Panel DAES'!$D$3:$D$135,'Cobertura de Datos'!A14, '📁 Panel DAES'!$M$3:$M$135,"&lt;&gt;")</f>
        <v>11</v>
      </c>
      <c r="I14" s="59">
        <f t="shared" si="2"/>
        <v>0.31428571428571428</v>
      </c>
      <c r="J14" s="4">
        <f>COUNTIFS('📁 Panel DAES'!$D$3:$D$135,'Cobertura de Datos'!A14, '📁 Panel DAES'!$N$3:$N$135,"&lt;&gt;")</f>
        <v>12</v>
      </c>
      <c r="K14" s="59">
        <f t="shared" si="3"/>
        <v>0.34285714285714286</v>
      </c>
      <c r="L14" s="4">
        <f>COUNTIFS('📁 Panel DAES'!$D$3:$D$135,'Cobertura de Datos'!A14, '📁 Panel DAES'!$K$3:$K$135,"&lt;&gt;")</f>
        <v>12</v>
      </c>
      <c r="M14" s="59">
        <f t="shared" si="4"/>
        <v>0.34285714285714286</v>
      </c>
      <c r="N14" s="4">
        <f>COUNTIFS('📁 Panel DAES'!$D$3:$D$135,'Cobertura de Datos'!A14, '📁 Panel DAES'!$L$3:$L$135,"&lt;&gt;")</f>
        <v>12</v>
      </c>
      <c r="O14" s="59">
        <f t="shared" si="5"/>
        <v>0.34285714285714286</v>
      </c>
    </row>
    <row r="15" spans="1:17" x14ac:dyDescent="0.3">
      <c r="B15" s="100"/>
      <c r="E15" s="97" t="s">
        <v>2034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</row>
    <row r="16" spans="1:17" ht="17.399999999999999" x14ac:dyDescent="0.3">
      <c r="A16" s="98" t="s">
        <v>2032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</row>
    <row r="17" spans="1:15" ht="24" x14ac:dyDescent="0.3">
      <c r="A17" s="66" t="s">
        <v>25</v>
      </c>
      <c r="B17" s="66" t="s">
        <v>2023</v>
      </c>
      <c r="C17" s="66" t="s">
        <v>2024</v>
      </c>
      <c r="D17" s="66" t="s">
        <v>2025</v>
      </c>
      <c r="E17" s="66"/>
      <c r="F17" s="66" t="s">
        <v>2026</v>
      </c>
      <c r="G17" s="66"/>
      <c r="H17" s="66" t="s">
        <v>2027</v>
      </c>
      <c r="I17" s="66"/>
      <c r="J17" s="66" t="s">
        <v>2028</v>
      </c>
      <c r="K17" s="66"/>
      <c r="L17" s="66" t="s">
        <v>2029</v>
      </c>
      <c r="M17" s="66"/>
      <c r="N17" s="66" t="s">
        <v>2030</v>
      </c>
      <c r="O17" s="66"/>
    </row>
    <row r="18" spans="1:15" x14ac:dyDescent="0.3">
      <c r="A18" s="69"/>
      <c r="B18" s="69"/>
      <c r="C18" s="69"/>
      <c r="D18" s="69" t="s">
        <v>26</v>
      </c>
      <c r="E18" s="69" t="s">
        <v>2031</v>
      </c>
      <c r="F18" s="69" t="s">
        <v>26</v>
      </c>
      <c r="G18" s="69" t="s">
        <v>2031</v>
      </c>
      <c r="H18" s="69" t="s">
        <v>26</v>
      </c>
      <c r="I18" s="69" t="s">
        <v>2031</v>
      </c>
      <c r="J18" s="69" t="s">
        <v>26</v>
      </c>
      <c r="K18" s="69" t="s">
        <v>2031</v>
      </c>
      <c r="L18" s="69" t="s">
        <v>26</v>
      </c>
      <c r="M18" s="69" t="s">
        <v>2031</v>
      </c>
      <c r="N18" s="69" t="s">
        <v>26</v>
      </c>
      <c r="O18" s="69" t="s">
        <v>2031</v>
      </c>
    </row>
    <row r="19" spans="1:15" x14ac:dyDescent="0.3">
      <c r="A19" s="67">
        <v>2013</v>
      </c>
      <c r="B19" s="67">
        <v>7</v>
      </c>
      <c r="C19" s="67">
        <v>7</v>
      </c>
      <c r="D19" s="67">
        <v>7</v>
      </c>
      <c r="E19" s="68">
        <v>1</v>
      </c>
      <c r="F19" s="67">
        <v>7</v>
      </c>
      <c r="G19" s="68">
        <v>1</v>
      </c>
      <c r="H19" s="67">
        <v>7</v>
      </c>
      <c r="I19" s="68">
        <v>1</v>
      </c>
      <c r="J19" s="67">
        <v>7</v>
      </c>
      <c r="K19" s="68">
        <v>1</v>
      </c>
      <c r="L19" s="67">
        <v>7</v>
      </c>
      <c r="M19" s="68">
        <v>1</v>
      </c>
      <c r="N19" s="67">
        <v>7</v>
      </c>
      <c r="O19" s="68">
        <v>1</v>
      </c>
    </row>
    <row r="20" spans="1:15" x14ac:dyDescent="0.3">
      <c r="A20" s="42">
        <v>2014</v>
      </c>
      <c r="B20" s="42">
        <v>7</v>
      </c>
      <c r="C20" s="42">
        <v>7</v>
      </c>
      <c r="D20" s="42">
        <v>7</v>
      </c>
      <c r="E20" s="62">
        <v>1</v>
      </c>
      <c r="F20" s="42">
        <v>7</v>
      </c>
      <c r="G20" s="62">
        <v>1</v>
      </c>
      <c r="H20" s="42">
        <v>7</v>
      </c>
      <c r="I20" s="62">
        <v>1</v>
      </c>
      <c r="J20" s="42">
        <v>7</v>
      </c>
      <c r="K20" s="62">
        <v>1</v>
      </c>
      <c r="L20" s="42">
        <v>7</v>
      </c>
      <c r="M20" s="62">
        <v>1</v>
      </c>
      <c r="N20" s="42">
        <v>7</v>
      </c>
      <c r="O20" s="62">
        <v>1</v>
      </c>
    </row>
    <row r="21" spans="1:15" x14ac:dyDescent="0.3">
      <c r="A21" s="36">
        <v>2015</v>
      </c>
      <c r="B21" s="36">
        <v>7</v>
      </c>
      <c r="C21" s="36">
        <v>7</v>
      </c>
      <c r="D21" s="36">
        <v>7</v>
      </c>
      <c r="E21" s="61">
        <v>1</v>
      </c>
      <c r="F21" s="36">
        <v>7</v>
      </c>
      <c r="G21" s="61">
        <v>1</v>
      </c>
      <c r="H21" s="36">
        <v>7</v>
      </c>
      <c r="I21" s="61">
        <v>1</v>
      </c>
      <c r="J21" s="36">
        <v>7</v>
      </c>
      <c r="K21" s="61">
        <v>1</v>
      </c>
      <c r="L21" s="36">
        <v>7</v>
      </c>
      <c r="M21" s="61">
        <v>1</v>
      </c>
      <c r="N21" s="36">
        <v>7</v>
      </c>
      <c r="O21" s="61">
        <v>1</v>
      </c>
    </row>
    <row r="22" spans="1:15" x14ac:dyDescent="0.3">
      <c r="A22" s="42">
        <v>2016</v>
      </c>
      <c r="B22" s="42">
        <v>7</v>
      </c>
      <c r="C22" s="42">
        <v>7</v>
      </c>
      <c r="D22" s="42">
        <v>7</v>
      </c>
      <c r="E22" s="62">
        <v>1</v>
      </c>
      <c r="F22" s="42">
        <v>7</v>
      </c>
      <c r="G22" s="62">
        <v>1</v>
      </c>
      <c r="H22" s="42">
        <v>7</v>
      </c>
      <c r="I22" s="62">
        <v>1</v>
      </c>
      <c r="J22" s="42">
        <v>7</v>
      </c>
      <c r="K22" s="62">
        <v>1</v>
      </c>
      <c r="L22" s="42">
        <v>7</v>
      </c>
      <c r="M22" s="62">
        <v>1</v>
      </c>
      <c r="N22" s="42">
        <v>7</v>
      </c>
      <c r="O22" s="62">
        <v>1</v>
      </c>
    </row>
    <row r="23" spans="1:15" x14ac:dyDescent="0.3">
      <c r="A23" s="36">
        <v>2017</v>
      </c>
      <c r="B23" s="36">
        <v>7</v>
      </c>
      <c r="C23" s="36">
        <v>7</v>
      </c>
      <c r="D23" s="36">
        <v>7</v>
      </c>
      <c r="E23" s="61">
        <v>1</v>
      </c>
      <c r="F23" s="36">
        <v>7</v>
      </c>
      <c r="G23" s="61">
        <v>1</v>
      </c>
      <c r="H23" s="36">
        <v>7</v>
      </c>
      <c r="I23" s="61">
        <v>1</v>
      </c>
      <c r="J23" s="36">
        <v>7</v>
      </c>
      <c r="K23" s="61">
        <v>1</v>
      </c>
      <c r="L23" s="36">
        <v>7</v>
      </c>
      <c r="M23" s="61">
        <v>1</v>
      </c>
      <c r="N23" s="36">
        <v>7</v>
      </c>
      <c r="O23" s="61">
        <v>1</v>
      </c>
    </row>
    <row r="24" spans="1:15" x14ac:dyDescent="0.3">
      <c r="A24" s="42">
        <v>2018</v>
      </c>
      <c r="B24" s="42">
        <v>7</v>
      </c>
      <c r="C24" s="42">
        <v>7</v>
      </c>
      <c r="D24" s="42">
        <v>7</v>
      </c>
      <c r="E24" s="62">
        <v>1</v>
      </c>
      <c r="F24" s="42">
        <v>7</v>
      </c>
      <c r="G24" s="62">
        <v>1</v>
      </c>
      <c r="H24" s="42">
        <v>7</v>
      </c>
      <c r="I24" s="62">
        <v>1</v>
      </c>
      <c r="J24" s="42">
        <v>7</v>
      </c>
      <c r="K24" s="62">
        <v>1</v>
      </c>
      <c r="L24" s="42">
        <v>7</v>
      </c>
      <c r="M24" s="62">
        <v>1</v>
      </c>
      <c r="N24" s="42">
        <v>7</v>
      </c>
      <c r="O24" s="62">
        <v>1</v>
      </c>
    </row>
    <row r="25" spans="1:15" x14ac:dyDescent="0.3">
      <c r="A25" s="36">
        <v>2019</v>
      </c>
      <c r="B25" s="36">
        <v>7</v>
      </c>
      <c r="C25" s="36">
        <v>7</v>
      </c>
      <c r="D25" s="36">
        <v>7</v>
      </c>
      <c r="E25" s="61">
        <v>1</v>
      </c>
      <c r="F25" s="36">
        <v>7</v>
      </c>
      <c r="G25" s="61">
        <v>1</v>
      </c>
      <c r="H25" s="36">
        <v>7</v>
      </c>
      <c r="I25" s="61">
        <v>1</v>
      </c>
      <c r="J25" s="36">
        <v>7</v>
      </c>
      <c r="K25" s="61">
        <v>1</v>
      </c>
      <c r="L25" s="36">
        <v>7</v>
      </c>
      <c r="M25" s="61">
        <v>1</v>
      </c>
      <c r="N25" s="36">
        <v>7</v>
      </c>
      <c r="O25" s="61">
        <v>1</v>
      </c>
    </row>
    <row r="26" spans="1:15" x14ac:dyDescent="0.3">
      <c r="A26" s="42">
        <v>2020</v>
      </c>
      <c r="B26" s="42">
        <v>7</v>
      </c>
      <c r="C26" s="42">
        <v>7</v>
      </c>
      <c r="D26" s="42">
        <v>7</v>
      </c>
      <c r="E26" s="62">
        <v>1</v>
      </c>
      <c r="F26" s="42">
        <v>7</v>
      </c>
      <c r="G26" s="62">
        <v>1</v>
      </c>
      <c r="H26" s="42">
        <v>7</v>
      </c>
      <c r="I26" s="62">
        <v>1</v>
      </c>
      <c r="J26" s="42">
        <v>7</v>
      </c>
      <c r="K26" s="62">
        <v>1</v>
      </c>
      <c r="L26" s="42">
        <v>7</v>
      </c>
      <c r="M26" s="62">
        <v>1</v>
      </c>
      <c r="N26" s="42">
        <v>7</v>
      </c>
      <c r="O26" s="62">
        <v>1</v>
      </c>
    </row>
    <row r="27" spans="1:15" x14ac:dyDescent="0.3">
      <c r="A27" s="36">
        <v>2021</v>
      </c>
      <c r="B27" s="36">
        <v>7</v>
      </c>
      <c r="C27" s="36">
        <v>7</v>
      </c>
      <c r="D27" s="36">
        <v>7</v>
      </c>
      <c r="E27" s="61">
        <v>1</v>
      </c>
      <c r="F27" s="36">
        <v>7</v>
      </c>
      <c r="G27" s="61">
        <v>1</v>
      </c>
      <c r="H27" s="36">
        <v>7</v>
      </c>
      <c r="I27" s="61">
        <v>1</v>
      </c>
      <c r="J27" s="36">
        <v>7</v>
      </c>
      <c r="K27" s="61">
        <v>1</v>
      </c>
      <c r="L27" s="36">
        <v>7</v>
      </c>
      <c r="M27" s="61">
        <v>1</v>
      </c>
      <c r="N27" s="36">
        <v>7</v>
      </c>
      <c r="O27" s="61">
        <v>1</v>
      </c>
    </row>
    <row r="28" spans="1:15" x14ac:dyDescent="0.3">
      <c r="A28" s="42">
        <v>2022</v>
      </c>
      <c r="B28" s="42">
        <v>7</v>
      </c>
      <c r="C28" s="42">
        <v>7</v>
      </c>
      <c r="D28" s="42">
        <v>7</v>
      </c>
      <c r="E28" s="62">
        <v>1</v>
      </c>
      <c r="F28" s="42">
        <v>7</v>
      </c>
      <c r="G28" s="62">
        <v>1</v>
      </c>
      <c r="H28" s="42">
        <v>7</v>
      </c>
      <c r="I28" s="62">
        <v>1</v>
      </c>
      <c r="J28" s="42">
        <v>7</v>
      </c>
      <c r="K28" s="62">
        <v>1</v>
      </c>
      <c r="L28" s="42">
        <v>7</v>
      </c>
      <c r="M28" s="62">
        <v>1</v>
      </c>
      <c r="N28" s="42">
        <v>7</v>
      </c>
      <c r="O28" s="62">
        <v>1</v>
      </c>
    </row>
    <row r="29" spans="1:15" x14ac:dyDescent="0.3">
      <c r="A29" s="36">
        <v>2023</v>
      </c>
      <c r="B29" s="36">
        <v>7</v>
      </c>
      <c r="C29" s="36">
        <v>7</v>
      </c>
      <c r="D29" s="36">
        <v>7</v>
      </c>
      <c r="E29" s="61">
        <v>1</v>
      </c>
      <c r="F29" s="36">
        <v>7</v>
      </c>
      <c r="G29" s="61">
        <v>1</v>
      </c>
      <c r="H29" s="36">
        <v>7</v>
      </c>
      <c r="I29" s="61">
        <v>1</v>
      </c>
      <c r="J29" s="36">
        <v>7</v>
      </c>
      <c r="K29" s="61">
        <v>1</v>
      </c>
      <c r="L29" s="36">
        <v>7</v>
      </c>
      <c r="M29" s="61">
        <v>1</v>
      </c>
      <c r="N29" s="36">
        <v>7</v>
      </c>
      <c r="O29" s="61">
        <v>1</v>
      </c>
    </row>
    <row r="30" spans="1:15" x14ac:dyDescent="0.3">
      <c r="A30" s="42">
        <v>2024</v>
      </c>
      <c r="B30" s="42">
        <v>7</v>
      </c>
      <c r="C30" s="42">
        <v>7</v>
      </c>
      <c r="D30" s="42">
        <v>7</v>
      </c>
      <c r="E30" s="62">
        <v>1</v>
      </c>
      <c r="F30" s="42">
        <v>7</v>
      </c>
      <c r="G30" s="62">
        <v>1</v>
      </c>
      <c r="H30" s="42">
        <v>7</v>
      </c>
      <c r="I30" s="62">
        <v>1</v>
      </c>
      <c r="J30" s="42">
        <v>7</v>
      </c>
      <c r="K30" s="62">
        <v>1</v>
      </c>
      <c r="L30" s="42">
        <v>7</v>
      </c>
      <c r="M30" s="62">
        <v>1</v>
      </c>
      <c r="N30" s="42">
        <v>7</v>
      </c>
      <c r="O30" s="62">
        <v>1</v>
      </c>
    </row>
    <row r="31" spans="1:15" x14ac:dyDescent="0.3">
      <c r="A31" s="36">
        <v>2025</v>
      </c>
      <c r="B31" s="36">
        <v>7</v>
      </c>
      <c r="C31" s="36">
        <v>7</v>
      </c>
      <c r="D31" s="36">
        <v>7</v>
      </c>
      <c r="E31" s="61">
        <v>1</v>
      </c>
      <c r="F31" s="36">
        <v>7</v>
      </c>
      <c r="G31" s="61">
        <v>1</v>
      </c>
      <c r="H31" s="36">
        <v>7</v>
      </c>
      <c r="I31" s="61">
        <v>1</v>
      </c>
      <c r="J31" s="36">
        <v>7</v>
      </c>
      <c r="K31" s="61">
        <v>1</v>
      </c>
      <c r="L31" s="36">
        <v>7</v>
      </c>
      <c r="M31" s="61">
        <v>1</v>
      </c>
      <c r="N31" s="36">
        <v>7</v>
      </c>
      <c r="O31" s="61">
        <v>1</v>
      </c>
    </row>
  </sheetData>
  <mergeCells count="3">
    <mergeCell ref="A1:O1"/>
    <mergeCell ref="E15:Q15"/>
    <mergeCell ref="A16:O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27F4-D504-4880-916A-C5C931DA2B73}">
  <sheetPr filterMode="1"/>
  <dimension ref="A1:I146"/>
  <sheetViews>
    <sheetView workbookViewId="0">
      <pane ySplit="2" topLeftCell="A3" activePane="bottomLeft" state="frozen"/>
      <selection pane="bottomLeft" activeCell="K8" sqref="K8"/>
    </sheetView>
  </sheetViews>
  <sheetFormatPr baseColWidth="10" defaultRowHeight="14.4" x14ac:dyDescent="0.3"/>
  <cols>
    <col min="4" max="4" width="14.6640625" bestFit="1" customWidth="1"/>
  </cols>
  <sheetData>
    <row r="1" spans="1:9" ht="26.4" customHeight="1" x14ac:dyDescent="0.3">
      <c r="A1" s="99" t="s">
        <v>2041</v>
      </c>
      <c r="B1" s="99"/>
      <c r="C1" s="99"/>
      <c r="D1" s="99"/>
      <c r="E1" s="99"/>
      <c r="F1" s="99"/>
      <c r="G1" s="99"/>
      <c r="H1" s="99"/>
      <c r="I1" s="99"/>
    </row>
    <row r="2" spans="1:9" x14ac:dyDescent="0.3">
      <c r="A2" s="74" t="s">
        <v>2042</v>
      </c>
      <c r="B2" s="74" t="s">
        <v>2035</v>
      </c>
      <c r="C2" s="74" t="s">
        <v>25</v>
      </c>
      <c r="D2" s="74" t="s">
        <v>26</v>
      </c>
      <c r="E2" s="74" t="s">
        <v>2036</v>
      </c>
      <c r="F2" s="74" t="s">
        <v>2037</v>
      </c>
      <c r="G2" s="74" t="s">
        <v>2038</v>
      </c>
      <c r="H2" s="74" t="s">
        <v>2039</v>
      </c>
      <c r="I2" s="74" t="s">
        <v>2040</v>
      </c>
    </row>
    <row r="3" spans="1:9" x14ac:dyDescent="0.3">
      <c r="A3" s="30" t="s">
        <v>61</v>
      </c>
      <c r="B3" s="72" t="s">
        <v>2025</v>
      </c>
      <c r="C3" s="72">
        <v>2014</v>
      </c>
      <c r="D3" s="72">
        <f>COUNTIFS('📁 Panel DAES'!$D$3:$D$135,'Cobertura de Datos'!A4, '📁 Panel DAES'!$E$3:$E$135,"&lt;&gt;")</f>
        <v>2</v>
      </c>
      <c r="E3" s="73">
        <f>+AVERAGEIF('📁 Panel DAES'!$D$3:$D$135,'Estadística Descriptiva'!C3,'📁 Panel DAES'!$E$3:$E$135)</f>
        <v>123.94641</v>
      </c>
      <c r="F3" s="73" cm="1">
        <f t="array" ref="F3">+MEDIAN(IF('📁 Panel DAES'!$D$3:$D$135='Estadística Descriptiva'!C3,'📁 Panel DAES'!$E$3:$E$135))</f>
        <v>123.94640999999999</v>
      </c>
      <c r="G3" s="73" cm="1">
        <f t="array" ref="G3">+_xlfn.STDEV.S(IF('📁 Panel DAES'!$D$3:$D$135='Estadística Descriptiva'!C3,'📁 Panel DAES'!$E$3:$E$135))</f>
        <v>174.21248993438954</v>
      </c>
      <c r="H3" s="73" cm="1">
        <f t="array" ref="H3">+MIN(IF('📁 Panel DAES'!$D$3:$D$135='Estadística Descriptiva'!C3,'📁 Panel DAES'!$E$3:$E$135))</f>
        <v>0.75957699999999995</v>
      </c>
      <c r="I3" s="73" cm="1">
        <f t="array" ref="I3">+MAX(IF('📁 Panel DAES'!$D$3:$D$135='Estadística Descriptiva'!C3,'📁 Panel DAES'!$E$3:$E$135))</f>
        <v>247.13324299999999</v>
      </c>
    </row>
    <row r="4" spans="1:9" hidden="1" x14ac:dyDescent="0.3">
      <c r="A4" s="30" t="s">
        <v>61</v>
      </c>
      <c r="B4" s="72" t="s">
        <v>2025</v>
      </c>
      <c r="C4" s="72">
        <v>2015</v>
      </c>
      <c r="D4" s="72">
        <f>COUNTIFS('📁 Panel DAES'!$D$3:$D$135,'Cobertura de Datos'!A5, '📁 Panel DAES'!$E$3:$E$135,"&lt;&gt;")</f>
        <v>8</v>
      </c>
      <c r="E4" s="73">
        <f>+AVERAGEIF('📁 Panel DAES'!$D$3:$D$135,'Estadística Descriptiva'!C4,'📁 Panel DAES'!$E$3:$E$135)</f>
        <v>678.25804800000003</v>
      </c>
      <c r="F4" s="73" cm="1">
        <f t="array" ref="F4">+MEDIAN(IF('📁 Panel DAES'!$D$3:$D$135='Estadística Descriptiva'!C4,'📁 Panel DAES'!$E$3:$E$135))</f>
        <v>166.90106700000001</v>
      </c>
      <c r="G4" s="73" cm="1">
        <f t="array" ref="G4">+_xlfn.STDEV.S(IF('📁 Panel DAES'!$D$3:$D$135='Estadística Descriptiva'!C4,'📁 Panel DAES'!$E$3:$E$135))</f>
        <v>1146.2994702020737</v>
      </c>
      <c r="H4" s="73" cm="1">
        <f t="array" ref="H4">+MIN(IF('📁 Panel DAES'!$D$3:$D$135='Estadística Descriptiva'!C4,'📁 Panel DAES'!$E$3:$E$135))</f>
        <v>0</v>
      </c>
      <c r="I4" s="73" cm="1">
        <f t="array" ref="I4">+MAX(IF('📁 Panel DAES'!$D$3:$D$135='Estadística Descriptiva'!C4,'📁 Panel DAES'!$E$3:$E$135))</f>
        <v>3368.8769240000001</v>
      </c>
    </row>
    <row r="5" spans="1:9" hidden="1" x14ac:dyDescent="0.3">
      <c r="A5" s="30" t="s">
        <v>61</v>
      </c>
      <c r="B5" s="72" t="s">
        <v>2025</v>
      </c>
      <c r="C5" s="72">
        <v>2016</v>
      </c>
      <c r="D5" s="72">
        <f>COUNTIFS('📁 Panel DAES'!$D$3:$D$135,'Cobertura de Datos'!A6, '📁 Panel DAES'!$E$3:$E$135,"&lt;&gt;")</f>
        <v>10</v>
      </c>
      <c r="E5" s="73">
        <f>+AVERAGEIF('📁 Panel DAES'!$D$3:$D$135,'Estadística Descriptiva'!C5,'📁 Panel DAES'!$E$3:$E$135)</f>
        <v>608.32352600000002</v>
      </c>
      <c r="F5" s="73" cm="1">
        <f t="array" ref="F5">+MEDIAN(IF('📁 Panel DAES'!$D$3:$D$135='Estadística Descriptiva'!C5,'📁 Panel DAES'!$E$3:$E$135))</f>
        <v>140.01143500000001</v>
      </c>
      <c r="G5" s="73" cm="1">
        <f t="array" ref="G5">+_xlfn.STDEV.S(IF('📁 Panel DAES'!$D$3:$D$135='Estadística Descriptiva'!C5,'📁 Panel DAES'!$E$3:$E$135))</f>
        <v>1158.0688831413381</v>
      </c>
      <c r="H5" s="73" cm="1">
        <f t="array" ref="H5">+MIN(IF('📁 Panel DAES'!$D$3:$D$135='Estadística Descriptiva'!C5,'📁 Panel DAES'!$E$3:$E$135))</f>
        <v>2.1909999999999998E-3</v>
      </c>
      <c r="I5" s="73" cm="1">
        <f t="array" ref="I5">+MAX(IF('📁 Panel DAES'!$D$3:$D$135='Estadística Descriptiva'!C5,'📁 Panel DAES'!$E$3:$E$135))</f>
        <v>3715.668447</v>
      </c>
    </row>
    <row r="6" spans="1:9" hidden="1" x14ac:dyDescent="0.3">
      <c r="A6" s="30" t="s">
        <v>61</v>
      </c>
      <c r="B6" s="72" t="s">
        <v>2025</v>
      </c>
      <c r="C6" s="72">
        <v>2017</v>
      </c>
      <c r="D6" s="72">
        <f>COUNTIFS('📁 Panel DAES'!$D$3:$D$135,'Cobertura de Datos'!A7, '📁 Panel DAES'!$E$3:$E$135,"&lt;&gt;")</f>
        <v>12</v>
      </c>
      <c r="E6" s="73">
        <f>+AVERAGEIF('📁 Panel DAES'!$D$3:$D$135,'Estadística Descriptiva'!C6,'📁 Panel DAES'!$E$3:$E$135)</f>
        <v>518.68734016666667</v>
      </c>
      <c r="F6" s="73" cm="1">
        <f t="array" ref="F6">+MEDIAN(IF('📁 Panel DAES'!$D$3:$D$135='Estadística Descriptiva'!C6,'📁 Panel DAES'!$E$3:$E$135))</f>
        <v>250.4622865</v>
      </c>
      <c r="G6" s="73" cm="1">
        <f t="array" ref="G6">+_xlfn.STDEV.S(IF('📁 Panel DAES'!$D$3:$D$135='Estadística Descriptiva'!C6,'📁 Panel DAES'!$E$3:$E$135))</f>
        <v>597.9108197253986</v>
      </c>
      <c r="H6" s="73" cm="1">
        <f t="array" ref="H6">+MIN(IF('📁 Panel DAES'!$D$3:$D$135='Estadística Descriptiva'!C6,'📁 Panel DAES'!$E$3:$E$135))</f>
        <v>0</v>
      </c>
      <c r="I6" s="73" cm="1">
        <f t="array" ref="I6">+MAX(IF('📁 Panel DAES'!$D$3:$D$135='Estadística Descriptiva'!C6,'📁 Panel DAES'!$E$3:$E$135))</f>
        <v>2207.2309140000002</v>
      </c>
    </row>
    <row r="7" spans="1:9" hidden="1" x14ac:dyDescent="0.3">
      <c r="A7" s="30" t="s">
        <v>61</v>
      </c>
      <c r="B7" s="72" t="s">
        <v>2025</v>
      </c>
      <c r="C7" s="72">
        <v>2018</v>
      </c>
      <c r="D7" s="72">
        <f>COUNTIFS('📁 Panel DAES'!$D$3:$D$135,'Cobertura de Datos'!A8, '📁 Panel DAES'!$E$3:$E$135,"&lt;&gt;")</f>
        <v>14</v>
      </c>
      <c r="E7" s="73">
        <f>+AVERAGEIF('📁 Panel DAES'!$D$3:$D$135,'Estadística Descriptiva'!C7,'📁 Panel DAES'!$E$3:$E$135)</f>
        <v>641.23288450000007</v>
      </c>
      <c r="F7" s="73" cm="1">
        <f t="array" ref="F7">+MEDIAN(IF('📁 Panel DAES'!$D$3:$D$135='Estadística Descriptiva'!C7,'📁 Panel DAES'!$E$3:$E$135))</f>
        <v>247.19757249999998</v>
      </c>
      <c r="G7" s="73" cm="1">
        <f t="array" ref="G7">+_xlfn.STDEV.S(IF('📁 Panel DAES'!$D$3:$D$135='Estadística Descriptiva'!C7,'📁 Panel DAES'!$E$3:$E$135))</f>
        <v>794.52289824374998</v>
      </c>
      <c r="H7" s="73" cm="1">
        <f t="array" ref="H7">+MIN(IF('📁 Panel DAES'!$D$3:$D$135='Estadística Descriptiva'!C7,'📁 Panel DAES'!$E$3:$E$135))</f>
        <v>0</v>
      </c>
      <c r="I7" s="73" cm="1">
        <f t="array" ref="I7">+MAX(IF('📁 Panel DAES'!$D$3:$D$135='Estadística Descriptiva'!C7,'📁 Panel DAES'!$E$3:$E$135))</f>
        <v>2617.4222140000002</v>
      </c>
    </row>
    <row r="8" spans="1:9" hidden="1" x14ac:dyDescent="0.3">
      <c r="A8" s="30" t="s">
        <v>61</v>
      </c>
      <c r="B8" s="72" t="s">
        <v>2025</v>
      </c>
      <c r="C8" s="72">
        <v>2019</v>
      </c>
      <c r="D8" s="72">
        <f>COUNTIFS('📁 Panel DAES'!$D$3:$D$135,'Cobertura de Datos'!A9, '📁 Panel DAES'!$E$3:$E$135,"&lt;&gt;")</f>
        <v>6</v>
      </c>
      <c r="E8" s="73">
        <f>+AVERAGEIF('📁 Panel DAES'!$D$3:$D$135,'Estadística Descriptiva'!C8,'📁 Panel DAES'!$E$3:$E$135)</f>
        <v>777.87527683333337</v>
      </c>
      <c r="F8" s="73" cm="1">
        <f t="array" ref="F8">+MEDIAN(IF('📁 Panel DAES'!$D$3:$D$135='Estadística Descriptiva'!C8,'📁 Panel DAES'!$E$3:$E$135))</f>
        <v>772.07053999999994</v>
      </c>
      <c r="G8" s="73" cm="1">
        <f t="array" ref="G8">+_xlfn.STDEV.S(IF('📁 Panel DAES'!$D$3:$D$135='Estadística Descriptiva'!C8,'📁 Panel DAES'!$E$3:$E$135))</f>
        <v>618.02704080360922</v>
      </c>
      <c r="H8" s="73" cm="1">
        <f t="array" ref="H8">+MIN(IF('📁 Panel DAES'!$D$3:$D$135='Estadística Descriptiva'!C8,'📁 Panel DAES'!$E$3:$E$135))</f>
        <v>0.35128599999999999</v>
      </c>
      <c r="I8" s="73" cm="1">
        <f t="array" ref="I8">+MAX(IF('📁 Panel DAES'!$D$3:$D$135='Estadística Descriptiva'!C8,'📁 Panel DAES'!$E$3:$E$135))</f>
        <v>1756.149371</v>
      </c>
    </row>
    <row r="9" spans="1:9" hidden="1" x14ac:dyDescent="0.3">
      <c r="A9" s="30" t="s">
        <v>61</v>
      </c>
      <c r="B9" s="72" t="s">
        <v>2025</v>
      </c>
      <c r="C9" s="72">
        <v>2020</v>
      </c>
      <c r="D9" s="72">
        <f>COUNTIFS('📁 Panel DAES'!$D$3:$D$135,'Cobertura de Datos'!A10, '📁 Panel DAES'!$E$3:$E$135,"&lt;&gt;")</f>
        <v>10</v>
      </c>
      <c r="E9" s="73">
        <f>+AVERAGEIF('📁 Panel DAES'!$D$3:$D$135,'Estadística Descriptiva'!C9,'📁 Panel DAES'!$E$3:$E$135)</f>
        <v>616.46371429999999</v>
      </c>
      <c r="F9" s="73" cm="1">
        <f t="array" ref="F9">+MEDIAN(IF('📁 Panel DAES'!$D$3:$D$135='Estadística Descriptiva'!C9,'📁 Panel DAES'!$E$3:$E$135))</f>
        <v>348.99289750000003</v>
      </c>
      <c r="G9" s="73" cm="1">
        <f t="array" ref="G9">+_xlfn.STDEV.S(IF('📁 Panel DAES'!$D$3:$D$135='Estadística Descriptiva'!C9,'📁 Panel DAES'!$E$3:$E$135))</f>
        <v>618.81467756228039</v>
      </c>
      <c r="H9" s="73" cm="1">
        <f t="array" ref="H9">+MIN(IF('📁 Panel DAES'!$D$3:$D$135='Estadística Descriptiva'!C9,'📁 Panel DAES'!$E$3:$E$135))</f>
        <v>0.244807</v>
      </c>
      <c r="I9" s="73" cm="1">
        <f t="array" ref="I9">+MAX(IF('📁 Panel DAES'!$D$3:$D$135='Estadística Descriptiva'!C9,'📁 Panel DAES'!$E$3:$E$135))</f>
        <v>1927.250855</v>
      </c>
    </row>
    <row r="10" spans="1:9" hidden="1" x14ac:dyDescent="0.3">
      <c r="A10" s="30" t="s">
        <v>61</v>
      </c>
      <c r="B10" s="72" t="s">
        <v>2025</v>
      </c>
      <c r="C10" s="72">
        <v>2021</v>
      </c>
      <c r="D10" s="72">
        <f>COUNTIFS('📁 Panel DAES'!$D$3:$D$135,'Cobertura de Datos'!A11, '📁 Panel DAES'!$E$3:$E$135,"&lt;&gt;")</f>
        <v>11</v>
      </c>
      <c r="E10" s="73">
        <f>+AVERAGEIF('📁 Panel DAES'!$D$3:$D$135,'Estadística Descriptiva'!C10,'📁 Panel DAES'!$E$3:$E$135)</f>
        <v>546.41092190909092</v>
      </c>
      <c r="F10" s="73" cm="1">
        <f t="array" ref="F10">+MEDIAN(IF('📁 Panel DAES'!$D$3:$D$135='Estadística Descriptiva'!C10,'📁 Panel DAES'!$E$3:$E$135))</f>
        <v>321.61466100000001</v>
      </c>
      <c r="G10" s="73" cm="1">
        <f t="array" ref="G10">+_xlfn.STDEV.S(IF('📁 Panel DAES'!$D$3:$D$135='Estadística Descriptiva'!C10,'📁 Panel DAES'!$E$3:$E$135))</f>
        <v>669.48074356890845</v>
      </c>
      <c r="H10" s="73" cm="1">
        <f t="array" ref="H10">+MIN(IF('📁 Panel DAES'!$D$3:$D$135='Estadística Descriptiva'!C10,'📁 Panel DAES'!$E$3:$E$135))</f>
        <v>0.26133600000000001</v>
      </c>
      <c r="I10" s="73" cm="1">
        <f t="array" ref="I10">+MAX(IF('📁 Panel DAES'!$D$3:$D$135='Estadística Descriptiva'!C10,'📁 Panel DAES'!$E$3:$E$135))</f>
        <v>2286.059636</v>
      </c>
    </row>
    <row r="11" spans="1:9" hidden="1" x14ac:dyDescent="0.3">
      <c r="A11" s="30" t="s">
        <v>61</v>
      </c>
      <c r="B11" s="72" t="s">
        <v>2025</v>
      </c>
      <c r="C11" s="72">
        <v>2022</v>
      </c>
      <c r="D11" s="72">
        <f>COUNTIFS('📁 Panel DAES'!$D$3:$D$135,'Cobertura de Datos'!A12, '📁 Panel DAES'!$E$3:$E$135,"&lt;&gt;")</f>
        <v>20</v>
      </c>
      <c r="E11" s="73">
        <f>+AVERAGEIF('📁 Panel DAES'!$D$3:$D$135,'Estadística Descriptiva'!C11,'📁 Panel DAES'!$E$3:$E$135)</f>
        <v>1108.5994174499999</v>
      </c>
      <c r="F11" s="73" cm="1">
        <f t="array" ref="F11">+MEDIAN(IF('📁 Panel DAES'!$D$3:$D$135='Estadística Descriptiva'!C11,'📁 Panel DAES'!$E$3:$E$135))</f>
        <v>731.60727599999996</v>
      </c>
      <c r="G11" s="73" cm="1">
        <f t="array" ref="G11">+_xlfn.STDEV.S(IF('📁 Panel DAES'!$D$3:$D$135='Estadística Descriptiva'!C11,'📁 Panel DAES'!$E$3:$E$135))</f>
        <v>1071.5090897846842</v>
      </c>
      <c r="H11" s="73" cm="1">
        <f t="array" ref="H11">+MIN(IF('📁 Panel DAES'!$D$3:$D$135='Estadística Descriptiva'!C11,'📁 Panel DAES'!$E$3:$E$135))</f>
        <v>2.9230900000000002</v>
      </c>
      <c r="I11" s="73" cm="1">
        <f t="array" ref="I11">+MAX(IF('📁 Panel DAES'!$D$3:$D$135='Estadística Descriptiva'!C11,'📁 Panel DAES'!$E$3:$E$135))</f>
        <v>3902.0545569999999</v>
      </c>
    </row>
    <row r="12" spans="1:9" hidden="1" x14ac:dyDescent="0.3">
      <c r="A12" s="30" t="s">
        <v>61</v>
      </c>
      <c r="B12" s="72" t="s">
        <v>2025</v>
      </c>
      <c r="C12" s="72">
        <v>2023</v>
      </c>
      <c r="D12" s="72">
        <f>COUNTIFS('📁 Panel DAES'!$D$3:$D$135,'Cobertura de Datos'!A13, '📁 Panel DAES'!$E$3:$E$135,"&lt;&gt;")</f>
        <v>24</v>
      </c>
      <c r="E12" s="73">
        <f>+AVERAGEIF('📁 Panel DAES'!$D$3:$D$135,'Estadística Descriptiva'!C12,'📁 Panel DAES'!$E$3:$E$135)</f>
        <v>1975.1927819583334</v>
      </c>
      <c r="F12" s="73" cm="1">
        <f t="array" ref="F12">+MEDIAN(IF('📁 Panel DAES'!$D$3:$D$135='Estadística Descriptiva'!C12,'📁 Panel DAES'!$E$3:$E$135))</f>
        <v>645.82354850000002</v>
      </c>
      <c r="G12" s="73" cm="1">
        <f t="array" ref="G12">+_xlfn.STDEV.S(IF('📁 Panel DAES'!$D$3:$D$135='Estadística Descriptiva'!C12,'📁 Panel DAES'!$E$3:$E$135))</f>
        <v>2506.4407474555319</v>
      </c>
      <c r="H12" s="73" cm="1">
        <f t="array" ref="H12">+MIN(IF('📁 Panel DAES'!$D$3:$D$135='Estadística Descriptiva'!C12,'📁 Panel DAES'!$E$3:$E$135))</f>
        <v>0.343607</v>
      </c>
      <c r="I12" s="73" cm="1">
        <f t="array" ref="I12">+MAX(IF('📁 Panel DAES'!$D$3:$D$135='Estadística Descriptiva'!C12,'📁 Panel DAES'!$E$3:$E$135))</f>
        <v>9903.39</v>
      </c>
    </row>
    <row r="13" spans="1:9" hidden="1" x14ac:dyDescent="0.3">
      <c r="A13" s="30" t="s">
        <v>61</v>
      </c>
      <c r="B13" s="72" t="s">
        <v>2025</v>
      </c>
      <c r="C13" s="72">
        <v>2024</v>
      </c>
      <c r="D13" s="72">
        <f>COUNTIFS('📁 Panel DAES'!$D$3:$D$135,'Cobertura de Datos'!A14, '📁 Panel DAES'!$E$3:$E$135,"&lt;&gt;")</f>
        <v>12</v>
      </c>
      <c r="E13" s="73">
        <f>+AVERAGEIF('📁 Panel DAES'!$D$3:$D$135,'Estadística Descriptiva'!C13,'📁 Panel DAES'!$E$3:$E$135)</f>
        <v>1511.3216925833333</v>
      </c>
      <c r="F13" s="73" cm="1">
        <f t="array" ref="F13">+MEDIAN(IF('📁 Panel DAES'!$D$3:$D$135='Estadística Descriptiva'!C13,'📁 Panel DAES'!$E$3:$E$135))</f>
        <v>565.72779349999996</v>
      </c>
      <c r="G13" s="73" cm="1">
        <f t="array" ref="G13">+_xlfn.STDEV.S(IF('📁 Panel DAES'!$D$3:$D$135='Estadística Descriptiva'!C13,'📁 Panel DAES'!$E$3:$E$135))</f>
        <v>2960.284746329296</v>
      </c>
      <c r="H13" s="73" cm="1">
        <f t="array" ref="H13">+MIN(IF('📁 Panel DAES'!$D$3:$D$135='Estadística Descriptiva'!C13,'📁 Panel DAES'!$E$3:$E$135))</f>
        <v>8.1972930000000002</v>
      </c>
      <c r="I13" s="73" cm="1">
        <f t="array" ref="I13">+MAX(IF('📁 Panel DAES'!$D$3:$D$135='Estadística Descriptiva'!C13,'📁 Panel DAES'!$E$3:$E$135))</f>
        <v>10773.726000000001</v>
      </c>
    </row>
    <row r="14" spans="1:9" x14ac:dyDescent="0.3">
      <c r="A14" s="30" t="s">
        <v>61</v>
      </c>
      <c r="B14" s="72" t="s">
        <v>2026</v>
      </c>
      <c r="C14" s="72">
        <v>2014</v>
      </c>
      <c r="D14" s="72">
        <f>COUNTIFS('📁 Panel DAES'!$D$3:$D$135,'Cobertura de Datos'!A4, '📁 Panel DAES'!$H$3:$H$135,"&lt;&gt;")</f>
        <v>2</v>
      </c>
      <c r="E14" s="73">
        <f>+AVERAGEIF('📁 Panel DAES'!$D$3:$D$135,C14,'📁 Panel DAES'!$H$3:$H$135)</f>
        <v>39.111798500000006</v>
      </c>
      <c r="F14" s="73" cm="1">
        <f t="array" ref="F14">+MEDIAN(IF('📁 Panel DAES'!$D$3:$D$135=C14,'📁 Panel DAES'!$H$3:$H$135))</f>
        <v>39.111798499999999</v>
      </c>
      <c r="G14" s="73" cm="1">
        <f t="array" ref="G14">+_xlfn.STDEV.S(IF('📁 Panel DAES'!$D$3:$D$135='Estadística Descriptiva'!C14,'📁 Panel DAES'!$H$3:$H$135))</f>
        <v>49.843123326944713</v>
      </c>
      <c r="H14" s="73" cm="1">
        <f t="array" ref="H14">+MIN(IF('📁 Panel DAES'!$D$3:$D$135='Estadística Descriptiva'!C14,'📁 Panel DAES'!$H$3:$H$135))</f>
        <v>3.867388</v>
      </c>
      <c r="I14" s="73" cm="1">
        <f t="array" ref="I14">+MAX(IF('📁 Panel DAES'!$D$3:$D$135='Estadística Descriptiva'!C14,'📁 Panel DAES'!$H$3:$H$135))</f>
        <v>74.356209000000007</v>
      </c>
    </row>
    <row r="15" spans="1:9" hidden="1" x14ac:dyDescent="0.3">
      <c r="A15" s="30" t="s">
        <v>61</v>
      </c>
      <c r="B15" s="72" t="s">
        <v>2026</v>
      </c>
      <c r="C15" s="72">
        <v>2015</v>
      </c>
      <c r="D15" s="72">
        <f>COUNTIFS('📁 Panel DAES'!$D$3:$D$135,'Cobertura de Datos'!A5, '📁 Panel DAES'!$H$3:$H$135,"&lt;&gt;")</f>
        <v>7</v>
      </c>
      <c r="E15" s="73">
        <f>+AVERAGEIF('📁 Panel DAES'!$D$3:$D$135,C15,'📁 Panel DAES'!$H$3:$H$135)</f>
        <v>251.83082599999997</v>
      </c>
      <c r="F15" s="73" cm="1">
        <f t="array" ref="F15">+MEDIAN(IF('📁 Panel DAES'!$D$3:$D$135=C15,'📁 Panel DAES'!$H$3:$H$135))</f>
        <v>74.453213500000004</v>
      </c>
      <c r="G15" s="73" cm="1">
        <f t="array" ref="G15">+_xlfn.STDEV.S(IF('📁 Panel DAES'!$D$3:$D$135='Estadística Descriptiva'!C15,'📁 Panel DAES'!$H$3:$H$135))</f>
        <v>332.8161728993245</v>
      </c>
      <c r="H15" s="73" cm="1">
        <f t="array" ref="H15">+MIN(IF('📁 Panel DAES'!$D$3:$D$135='Estadística Descriptiva'!C15,'📁 Panel DAES'!$H$3:$H$135))</f>
        <v>0</v>
      </c>
      <c r="I15" s="73" cm="1">
        <f t="array" ref="I15">+MAX(IF('📁 Panel DAES'!$D$3:$D$135='Estadística Descriptiva'!C15,'📁 Panel DAES'!$H$3:$H$135))</f>
        <v>984.36359300000004</v>
      </c>
    </row>
    <row r="16" spans="1:9" hidden="1" x14ac:dyDescent="0.3">
      <c r="A16" s="30" t="s">
        <v>61</v>
      </c>
      <c r="B16" s="72" t="s">
        <v>2026</v>
      </c>
      <c r="C16" s="72">
        <v>2016</v>
      </c>
      <c r="D16" s="72">
        <f>COUNTIFS('📁 Panel DAES'!$D$3:$D$135,'Cobertura de Datos'!A6, '📁 Panel DAES'!$H$3:$H$135,"&lt;&gt;")</f>
        <v>9</v>
      </c>
      <c r="E16" s="73">
        <f>+AVERAGEIF('📁 Panel DAES'!$D$3:$D$135,C16,'📁 Panel DAES'!$H$3:$H$135)</f>
        <v>222.25285522222225</v>
      </c>
      <c r="F16" s="73" cm="1">
        <f t="array" ref="F16">+MEDIAN(IF('📁 Panel DAES'!$D$3:$D$135=C16,'📁 Panel DAES'!$H$3:$H$135))</f>
        <v>83.038392000000002</v>
      </c>
      <c r="G16" s="73" cm="1">
        <f t="array" ref="G16">+_xlfn.STDEV.S(IF('📁 Panel DAES'!$D$3:$D$135='Estadística Descriptiva'!C16,'📁 Panel DAES'!$H$3:$H$135))</f>
        <v>337.40553208408085</v>
      </c>
      <c r="H16" s="73" cm="1">
        <f t="array" ref="H16">+MIN(IF('📁 Panel DAES'!$D$3:$D$135='Estadística Descriptiva'!C16,'📁 Panel DAES'!$H$3:$H$135))</f>
        <v>0</v>
      </c>
      <c r="I16" s="73" cm="1">
        <f t="array" ref="I16">+MAX(IF('📁 Panel DAES'!$D$3:$D$135='Estadística Descriptiva'!C16,'📁 Panel DAES'!$H$3:$H$135))</f>
        <v>1094.662491</v>
      </c>
    </row>
    <row r="17" spans="1:9" hidden="1" x14ac:dyDescent="0.3">
      <c r="A17" s="30" t="s">
        <v>61</v>
      </c>
      <c r="B17" s="72" t="s">
        <v>2026</v>
      </c>
      <c r="C17" s="72">
        <v>2017</v>
      </c>
      <c r="D17" s="72">
        <f>COUNTIFS('📁 Panel DAES'!$D$3:$D$135,'Cobertura de Datos'!A7, '📁 Panel DAES'!$H$3:$H$135,"&lt;&gt;")</f>
        <v>14</v>
      </c>
      <c r="E17" s="73">
        <f>+AVERAGEIF('📁 Panel DAES'!$D$3:$D$135,C17,'📁 Panel DAES'!$H$3:$H$135)</f>
        <v>187.30179592857144</v>
      </c>
      <c r="F17" s="73" cm="1">
        <f t="array" ref="F17">+MEDIAN(IF('📁 Panel DAES'!$D$3:$D$135=C17,'📁 Panel DAES'!$H$3:$H$135))</f>
        <v>125.48039799999999</v>
      </c>
      <c r="G17" s="73" cm="1">
        <f t="array" ref="G17">+_xlfn.STDEV.S(IF('📁 Panel DAES'!$D$3:$D$135='Estadística Descriptiva'!C17,'📁 Panel DAES'!$H$3:$H$135))</f>
        <v>236.06748928599293</v>
      </c>
      <c r="H17" s="73" cm="1">
        <f t="array" ref="H17">+MIN(IF('📁 Panel DAES'!$D$3:$D$135='Estadística Descriptiva'!C17,'📁 Panel DAES'!$H$3:$H$135))</f>
        <v>8.3293000000000006E-2</v>
      </c>
      <c r="I17" s="73" cm="1">
        <f t="array" ref="I17">+MAX(IF('📁 Panel DAES'!$D$3:$D$135='Estadística Descriptiva'!C17,'📁 Panel DAES'!$H$3:$H$135))</f>
        <v>942.66384400000004</v>
      </c>
    </row>
    <row r="18" spans="1:9" hidden="1" x14ac:dyDescent="0.3">
      <c r="A18" s="30" t="s">
        <v>61</v>
      </c>
      <c r="B18" s="72" t="s">
        <v>2026</v>
      </c>
      <c r="C18" s="72">
        <v>2018</v>
      </c>
      <c r="D18" s="72">
        <f>COUNTIFS('📁 Panel DAES'!$D$3:$D$135,'Cobertura de Datos'!A8, '📁 Panel DAES'!$H$3:$H$135,"&lt;&gt;")</f>
        <v>16</v>
      </c>
      <c r="E18" s="73">
        <f>+AVERAGEIF('📁 Panel DAES'!$D$3:$D$135,C18,'📁 Panel DAES'!$H$3:$H$135)</f>
        <v>274.07760306249997</v>
      </c>
      <c r="F18" s="73" cm="1">
        <f t="array" ref="F18">+MEDIAN(IF('📁 Panel DAES'!$D$3:$D$135=C18,'📁 Panel DAES'!$H$3:$H$135))</f>
        <v>135.6892905</v>
      </c>
      <c r="G18" s="73" cm="1">
        <f t="array" ref="G18">+_xlfn.STDEV.S(IF('📁 Panel DAES'!$D$3:$D$135='Estadística Descriptiva'!C18,'📁 Panel DAES'!$H$3:$H$135))</f>
        <v>388.85852048063515</v>
      </c>
      <c r="H18" s="73" cm="1">
        <f t="array" ref="H18">+MIN(IF('📁 Panel DAES'!$D$3:$D$135='Estadística Descriptiva'!C18,'📁 Panel DAES'!$H$3:$H$135))</f>
        <v>0.112391</v>
      </c>
      <c r="I18" s="73" cm="1">
        <f t="array" ref="I18">+MAX(IF('📁 Panel DAES'!$D$3:$D$135='Estadística Descriptiva'!C18,'📁 Panel DAES'!$H$3:$H$135))</f>
        <v>1353.3568009999999</v>
      </c>
    </row>
    <row r="19" spans="1:9" hidden="1" x14ac:dyDescent="0.3">
      <c r="A19" s="30" t="s">
        <v>61</v>
      </c>
      <c r="B19" s="72" t="s">
        <v>2026</v>
      </c>
      <c r="C19" s="72">
        <v>2019</v>
      </c>
      <c r="D19" s="72">
        <f>COUNTIFS('📁 Panel DAES'!$D$3:$D$135,'Cobertura de Datos'!A9, '📁 Panel DAES'!$H$3:$H$135,"&lt;&gt;")</f>
        <v>6</v>
      </c>
      <c r="E19" s="73">
        <f>+AVERAGEIF('📁 Panel DAES'!$D$3:$D$135,C19,'📁 Panel DAES'!$H$3:$H$135)</f>
        <v>309.16459383333336</v>
      </c>
      <c r="F19" s="73" cm="1">
        <f t="array" ref="F19">+MEDIAN(IF('📁 Panel DAES'!$D$3:$D$135=C19,'📁 Panel DAES'!$H$3:$H$135))</f>
        <v>308.07732650000003</v>
      </c>
      <c r="G19" s="73" cm="1">
        <f t="array" ref="G19">+_xlfn.STDEV.S(IF('📁 Panel DAES'!$D$3:$D$135='Estadística Descriptiva'!C19,'📁 Panel DAES'!$H$3:$H$135))</f>
        <v>189.2010986842686</v>
      </c>
      <c r="H19" s="73" cm="1">
        <f t="array" ref="H19">+MIN(IF('📁 Panel DAES'!$D$3:$D$135='Estadística Descriptiva'!C19,'📁 Panel DAES'!$H$3:$H$135))</f>
        <v>0.12639400000000001</v>
      </c>
      <c r="I19" s="73" cm="1">
        <f t="array" ref="I19">+MAX(IF('📁 Panel DAES'!$D$3:$D$135='Estadística Descriptiva'!C19,'📁 Panel DAES'!$H$3:$H$135))</f>
        <v>529.27133300000003</v>
      </c>
    </row>
    <row r="20" spans="1:9" hidden="1" x14ac:dyDescent="0.3">
      <c r="A20" s="30" t="s">
        <v>61</v>
      </c>
      <c r="B20" s="72" t="s">
        <v>2026</v>
      </c>
      <c r="C20" s="72">
        <v>2020</v>
      </c>
      <c r="D20" s="72">
        <f>COUNTIFS('📁 Panel DAES'!$D$3:$D$135,'Cobertura de Datos'!A10, '📁 Panel DAES'!$H$3:$H$135,"&lt;&gt;")</f>
        <v>10</v>
      </c>
      <c r="E20" s="73">
        <f>+AVERAGEIF('📁 Panel DAES'!$D$3:$D$135,C20,'📁 Panel DAES'!$H$3:$H$135)</f>
        <v>241.99053979999999</v>
      </c>
      <c r="F20" s="73" cm="1">
        <f t="array" ref="F20">+MEDIAN(IF('📁 Panel DAES'!$D$3:$D$135=C20,'📁 Panel DAES'!$H$3:$H$135))</f>
        <v>153.7826225</v>
      </c>
      <c r="G20" s="73" cm="1">
        <f t="array" ref="G20">+_xlfn.STDEV.S(IF('📁 Panel DAES'!$D$3:$D$135='Estadística Descriptiva'!C20,'📁 Panel DAES'!$H$3:$H$135))</f>
        <v>235.3834100776142</v>
      </c>
      <c r="H20" s="73" cm="1">
        <f t="array" ref="H20">+MIN(IF('📁 Panel DAES'!$D$3:$D$135='Estadística Descriptiva'!C20,'📁 Panel DAES'!$H$3:$H$135))</f>
        <v>0.12536700000000001</v>
      </c>
      <c r="I20" s="73" cm="1">
        <f t="array" ref="I20">+MAX(IF('📁 Panel DAES'!$D$3:$D$135='Estadística Descriptiva'!C20,'📁 Panel DAES'!$H$3:$H$135))</f>
        <v>644.208842</v>
      </c>
    </row>
    <row r="21" spans="1:9" hidden="1" x14ac:dyDescent="0.3">
      <c r="A21" s="30" t="s">
        <v>61</v>
      </c>
      <c r="B21" s="72" t="s">
        <v>2026</v>
      </c>
      <c r="C21" s="72">
        <v>2021</v>
      </c>
      <c r="D21" s="72">
        <f>COUNTIFS('📁 Panel DAES'!$D$3:$D$135,'Cobertura de Datos'!A11, '📁 Panel DAES'!$H$3:$H$135,"&lt;&gt;")</f>
        <v>10</v>
      </c>
      <c r="E21" s="73">
        <f>+AVERAGEIF('📁 Panel DAES'!$D$3:$D$135,C21,'📁 Panel DAES'!$H$3:$H$135)</f>
        <v>203.00231960000002</v>
      </c>
      <c r="F21" s="73" cm="1">
        <f t="array" ref="F21">+MEDIAN(IF('📁 Panel DAES'!$D$3:$D$135=C21,'📁 Panel DAES'!$H$3:$H$135))</f>
        <v>87.097455999999994</v>
      </c>
      <c r="G21" s="73" cm="1">
        <f t="array" ref="G21">+_xlfn.STDEV.S(IF('📁 Panel DAES'!$D$3:$D$135='Estadística Descriptiva'!C21,'📁 Panel DAES'!$H$3:$H$135))</f>
        <v>195.33258921732346</v>
      </c>
      <c r="H21" s="73" cm="1">
        <f t="array" ref="H21">+MIN(IF('📁 Panel DAES'!$D$3:$D$135='Estadística Descriptiva'!C21,'📁 Panel DAES'!$H$3:$H$135))</f>
        <v>0</v>
      </c>
      <c r="I21" s="73" cm="1">
        <f t="array" ref="I21">+MAX(IF('📁 Panel DAES'!$D$3:$D$135='Estadística Descriptiva'!C21,'📁 Panel DAES'!$H$3:$H$135))</f>
        <v>629.909446</v>
      </c>
    </row>
    <row r="22" spans="1:9" hidden="1" x14ac:dyDescent="0.3">
      <c r="A22" s="30" t="s">
        <v>61</v>
      </c>
      <c r="B22" s="72" t="s">
        <v>2026</v>
      </c>
      <c r="C22" s="72">
        <v>2022</v>
      </c>
      <c r="D22" s="72">
        <f>COUNTIFS('📁 Panel DAES'!$D$3:$D$135,'Cobertura de Datos'!A12, '📁 Panel DAES'!$H$3:$H$135,"&lt;&gt;")</f>
        <v>19</v>
      </c>
      <c r="E22" s="73">
        <f>+AVERAGEIF('📁 Panel DAES'!$D$3:$D$135,C22,'📁 Panel DAES'!$H$3:$H$135)</f>
        <v>366.70378242105267</v>
      </c>
      <c r="F22" s="73" cm="1">
        <f t="array" ref="F22">+MEDIAN(IF('📁 Panel DAES'!$D$3:$D$135=C22,'📁 Panel DAES'!$H$3:$H$135))</f>
        <v>239.41073</v>
      </c>
      <c r="G22" s="73" cm="1">
        <f t="array" ref="G22">+_xlfn.STDEV.S(IF('📁 Panel DAES'!$D$3:$D$135='Estadística Descriptiva'!C22,'📁 Panel DAES'!$H$3:$H$135))</f>
        <v>387.68506801122584</v>
      </c>
      <c r="H22" s="73" cm="1">
        <f t="array" ref="H22">+MIN(IF('📁 Panel DAES'!$D$3:$D$135='Estadística Descriptiva'!C22,'📁 Panel DAES'!$H$3:$H$135))</f>
        <v>0</v>
      </c>
      <c r="I22" s="73" cm="1">
        <f t="array" ref="I22">+MAX(IF('📁 Panel DAES'!$D$3:$D$135='Estadística Descriptiva'!C22,'📁 Panel DAES'!$H$3:$H$135))</f>
        <v>1596.0623129999999</v>
      </c>
    </row>
    <row r="23" spans="1:9" hidden="1" x14ac:dyDescent="0.3">
      <c r="A23" s="30" t="s">
        <v>61</v>
      </c>
      <c r="B23" s="72" t="s">
        <v>2026</v>
      </c>
      <c r="C23" s="72">
        <v>2023</v>
      </c>
      <c r="D23" s="72">
        <f>COUNTIFS('📁 Panel DAES'!$D$3:$D$135,'Cobertura de Datos'!A13, '📁 Panel DAES'!$H$3:$H$135,"&lt;&gt;")</f>
        <v>22</v>
      </c>
      <c r="E23" s="73">
        <f>+AVERAGEIF('📁 Panel DAES'!$D$3:$D$135,C23,'📁 Panel DAES'!$H$3:$H$135)</f>
        <v>571.92656472727276</v>
      </c>
      <c r="F23" s="73" cm="1">
        <f t="array" ref="F23">+MEDIAN(IF('📁 Panel DAES'!$D$3:$D$135=C23,'📁 Panel DAES'!$H$3:$H$135))</f>
        <v>279.55718150000001</v>
      </c>
      <c r="G23" s="73" cm="1">
        <f t="array" ref="G23">+_xlfn.STDEV.S(IF('📁 Panel DAES'!$D$3:$D$135='Estadística Descriptiva'!C23,'📁 Panel DAES'!$H$3:$H$135))</f>
        <v>778.50805484452576</v>
      </c>
      <c r="H23" s="73" cm="1">
        <f t="array" ref="H23">+MIN(IF('📁 Panel DAES'!$D$3:$D$135='Estadística Descriptiva'!C23,'📁 Panel DAES'!$H$3:$H$135))</f>
        <v>0</v>
      </c>
      <c r="I23" s="73" cm="1">
        <f t="array" ref="I23">+MAX(IF('📁 Panel DAES'!$D$3:$D$135='Estadística Descriptiva'!C23,'📁 Panel DAES'!$H$3:$H$135))</f>
        <v>3648.2339999999999</v>
      </c>
    </row>
    <row r="24" spans="1:9" hidden="1" x14ac:dyDescent="0.3">
      <c r="A24" s="30" t="s">
        <v>61</v>
      </c>
      <c r="B24" s="72" t="s">
        <v>2026</v>
      </c>
      <c r="C24" s="72">
        <v>2024</v>
      </c>
      <c r="D24" s="72">
        <f>COUNTIFS('📁 Panel DAES'!$D$3:$D$135,'Cobertura de Datos'!A14, '📁 Panel DAES'!$H$3:$H$135,"&lt;&gt;")</f>
        <v>11</v>
      </c>
      <c r="E24" s="73">
        <f>+AVERAGEIF('📁 Panel DAES'!$D$3:$D$135,C24,'📁 Panel DAES'!$H$3:$H$135)</f>
        <v>751.76795927272724</v>
      </c>
      <c r="F24" s="73" cm="1">
        <f t="array" ref="F24">+MEDIAN(IF('📁 Panel DAES'!$D$3:$D$135=C24,'📁 Panel DAES'!$H$3:$H$135))</f>
        <v>251.99391700000001</v>
      </c>
      <c r="G24" s="73" cm="1">
        <f t="array" ref="G24">+_xlfn.STDEV.S(IF('📁 Panel DAES'!$D$3:$D$135='Estadística Descriptiva'!C24,'📁 Panel DAES'!$H$3:$H$135))</f>
        <v>1144.2809073864587</v>
      </c>
      <c r="H24" s="73" cm="1">
        <f t="array" ref="H24">+MIN(IF('📁 Panel DAES'!$D$3:$D$135='Estadística Descriptiva'!C24,'📁 Panel DAES'!$H$3:$H$135))</f>
        <v>0</v>
      </c>
      <c r="I24" s="73" cm="1">
        <f t="array" ref="I24">+MAX(IF('📁 Panel DAES'!$D$3:$D$135='Estadística Descriptiva'!C24,'📁 Panel DAES'!$H$3:$H$135))</f>
        <v>3985.462</v>
      </c>
    </row>
    <row r="25" spans="1:9" x14ac:dyDescent="0.3">
      <c r="A25" s="30" t="s">
        <v>61</v>
      </c>
      <c r="B25" s="72" t="s">
        <v>2029</v>
      </c>
      <c r="C25" s="72">
        <v>2014</v>
      </c>
      <c r="D25" s="72">
        <f>COUNTIFS('📁 Panel DAES'!$D$3:$D$135,'Cobertura de Datos'!A4, '📁 Panel DAES'!$K$3:$K$135,"&lt;&gt;")</f>
        <v>2</v>
      </c>
      <c r="E25" s="73">
        <f>+AVERAGEIF('📁 Panel DAES'!$D$3:$D$135,C25,'📁 Panel DAES'!$K$3:$K$135)</f>
        <v>613.29896699999995</v>
      </c>
      <c r="F25" s="73" cm="1">
        <f t="array" ref="F25">+MEDIAN(IF('📁 Panel DAES'!$D$3:$D$135=C25,'📁 Panel DAES'!$K$3:$K$135))</f>
        <v>613.29896699999995</v>
      </c>
      <c r="G25" s="73" cm="1">
        <f t="array" ref="G25">+_xlfn.STDEV.S(IF('📁 Panel DAES'!$D$3:$D$135='Estadística Descriptiva'!C25,'📁 Panel DAES'!$K$3:$K$135))</f>
        <v>791.01847681536719</v>
      </c>
      <c r="H25" s="73" cm="1">
        <f t="array" ref="H25">+MIN(IF('📁 Panel DAES'!$D$3:$D$135='Estadística Descriptiva'!C25,'📁 Panel DAES'!$K$3:$K$135))</f>
        <v>53.964438000000001</v>
      </c>
      <c r="I25" s="73" cm="1">
        <f t="array" ref="I25">+MAX(IF('📁 Panel DAES'!$D$3:$D$135='Estadística Descriptiva'!C25,'📁 Panel DAES'!$K$3:$K$135))</f>
        <v>1172.6334959999999</v>
      </c>
    </row>
    <row r="26" spans="1:9" hidden="1" x14ac:dyDescent="0.3">
      <c r="A26" s="30" t="s">
        <v>61</v>
      </c>
      <c r="B26" s="72" t="s">
        <v>2029</v>
      </c>
      <c r="C26" s="72">
        <v>2015</v>
      </c>
      <c r="D26" s="72">
        <f>COUNTIFS('📁 Panel DAES'!$D$3:$D$135,'Cobertura de Datos'!A5, '📁 Panel DAES'!$K$3:$K$135,"&lt;&gt;")</f>
        <v>7</v>
      </c>
      <c r="E26" s="73">
        <f>+AVERAGEIF('📁 Panel DAES'!$D$3:$D$135,C26,'📁 Panel DAES'!$K$3:$K$135)</f>
        <v>4577.1228088571424</v>
      </c>
      <c r="F26" s="73" cm="1">
        <f t="array" ref="F26">+MEDIAN(IF('📁 Panel DAES'!$D$3:$D$135=C26,'📁 Panel DAES'!$K$3:$K$135))</f>
        <v>392.55506700000001</v>
      </c>
      <c r="G26" s="73" cm="1">
        <f t="array" ref="G26">+_xlfn.STDEV.S(IF('📁 Panel DAES'!$D$3:$D$135='Estadística Descriptiva'!C26,'📁 Panel DAES'!$K$3:$K$135))</f>
        <v>9774.3871149771585</v>
      </c>
      <c r="H26" s="73" cm="1">
        <f t="array" ref="H26">+MIN(IF('📁 Panel DAES'!$D$3:$D$135='Estadística Descriptiva'!C26,'📁 Panel DAES'!$K$3:$K$135))</f>
        <v>0</v>
      </c>
      <c r="I26" s="73" cm="1">
        <f t="array" ref="I26">+MAX(IF('📁 Panel DAES'!$D$3:$D$135='Estadística Descriptiva'!C26,'📁 Panel DAES'!$K$3:$K$135))</f>
        <v>28146.627666</v>
      </c>
    </row>
    <row r="27" spans="1:9" hidden="1" x14ac:dyDescent="0.3">
      <c r="A27" s="30" t="s">
        <v>61</v>
      </c>
      <c r="B27" s="72" t="s">
        <v>2029</v>
      </c>
      <c r="C27" s="72">
        <v>2016</v>
      </c>
      <c r="D27" s="72">
        <f>COUNTIFS('📁 Panel DAES'!$D$3:$D$135,'Cobertura de Datos'!A6, '📁 Panel DAES'!$K$3:$K$135,"&lt;&gt;")</f>
        <v>7</v>
      </c>
      <c r="E27" s="73">
        <f>+AVERAGEIF('📁 Panel DAES'!$D$3:$D$135,C27,'📁 Panel DAES'!$K$3:$K$135)</f>
        <v>1478.5687392857144</v>
      </c>
      <c r="F27" s="73" cm="1">
        <f t="array" ref="F27">+MEDIAN(IF('📁 Panel DAES'!$D$3:$D$135=C27,'📁 Panel DAES'!$K$3:$K$135))</f>
        <v>3.1110745</v>
      </c>
      <c r="G27" s="73" cm="1">
        <f t="array" ref="G27">+_xlfn.STDEV.S(IF('📁 Panel DAES'!$D$3:$D$135='Estadística Descriptiva'!C27,'📁 Panel DAES'!$K$3:$K$135))</f>
        <v>2399.1098254961057</v>
      </c>
      <c r="H27" s="73" cm="1">
        <f t="array" ref="H27">+MIN(IF('📁 Panel DAES'!$D$3:$D$135='Estadística Descriptiva'!C27,'📁 Panel DAES'!$K$3:$K$135))</f>
        <v>0</v>
      </c>
      <c r="I27" s="73" cm="1">
        <f t="array" ref="I27">+MAX(IF('📁 Panel DAES'!$D$3:$D$135='Estadística Descriptiva'!C27,'📁 Panel DAES'!$K$3:$K$135))</f>
        <v>7731.3593799999999</v>
      </c>
    </row>
    <row r="28" spans="1:9" hidden="1" x14ac:dyDescent="0.3">
      <c r="A28" s="30" t="s">
        <v>61</v>
      </c>
      <c r="B28" s="72" t="s">
        <v>2029</v>
      </c>
      <c r="C28" s="72">
        <v>2017</v>
      </c>
      <c r="D28" s="72">
        <f>COUNTIFS('📁 Panel DAES'!$D$3:$D$135,'Cobertura de Datos'!A7, '📁 Panel DAES'!$K$3:$K$135,"&lt;&gt;")</f>
        <v>11</v>
      </c>
      <c r="E28" s="73">
        <f>+AVERAGEIF('📁 Panel DAES'!$D$3:$D$135,C28,'📁 Panel DAES'!$K$3:$K$135)</f>
        <v>2950.2370665454541</v>
      </c>
      <c r="F28" s="73" cm="1">
        <f t="array" ref="F28">+MEDIAN(IF('📁 Panel DAES'!$D$3:$D$135=C28,'📁 Panel DAES'!$K$3:$K$135))</f>
        <v>559.2251819999999</v>
      </c>
      <c r="G28" s="73" cm="1">
        <f t="array" ref="G28">+_xlfn.STDEV.S(IF('📁 Panel DAES'!$D$3:$D$135='Estadística Descriptiva'!C28,'📁 Panel DAES'!$K$3:$K$135))</f>
        <v>4344.5355567823444</v>
      </c>
      <c r="H28" s="73" cm="1">
        <f t="array" ref="H28">+MIN(IF('📁 Panel DAES'!$D$3:$D$135='Estadística Descriptiva'!C28,'📁 Panel DAES'!$K$3:$K$135))</f>
        <v>0</v>
      </c>
      <c r="I28" s="73" cm="1">
        <f t="array" ref="I28">+MAX(IF('📁 Panel DAES'!$D$3:$D$135='Estadística Descriptiva'!C28,'📁 Panel DAES'!$K$3:$K$135))</f>
        <v>15720.697152999999</v>
      </c>
    </row>
    <row r="29" spans="1:9" hidden="1" x14ac:dyDescent="0.3">
      <c r="A29" s="30" t="s">
        <v>61</v>
      </c>
      <c r="B29" s="72" t="s">
        <v>2029</v>
      </c>
      <c r="C29" s="72">
        <v>2018</v>
      </c>
      <c r="D29" s="72">
        <f>COUNTIFS('📁 Panel DAES'!$D$3:$D$135,'Cobertura de Datos'!A8, '📁 Panel DAES'!$K$3:$K$135,"&lt;&gt;")</f>
        <v>15</v>
      </c>
      <c r="E29" s="73">
        <f>+AVERAGEIF('📁 Panel DAES'!$D$3:$D$135,C29,'📁 Panel DAES'!$K$3:$K$135)</f>
        <v>3455.0456451999994</v>
      </c>
      <c r="F29" s="73" cm="1">
        <f t="array" ref="F29">+MEDIAN(IF('📁 Panel DAES'!$D$3:$D$135=C29,'📁 Panel DAES'!$K$3:$K$135))</f>
        <v>1027.773379</v>
      </c>
      <c r="G29" s="73" cm="1">
        <f t="array" ref="G29">+_xlfn.STDEV.S(IF('📁 Panel DAES'!$D$3:$D$135='Estadística Descriptiva'!C29,'📁 Panel DAES'!$K$3:$K$135))</f>
        <v>4928.8192515012324</v>
      </c>
      <c r="H29" s="73" cm="1">
        <f t="array" ref="H29">+MIN(IF('📁 Panel DAES'!$D$3:$D$135='Estadística Descriptiva'!C29,'📁 Panel DAES'!$K$3:$K$135))</f>
        <v>0</v>
      </c>
      <c r="I29" s="73" cm="1">
        <f t="array" ref="I29">+MAX(IF('📁 Panel DAES'!$D$3:$D$135='Estadística Descriptiva'!C29,'📁 Panel DAES'!$K$3:$K$135))</f>
        <v>15924.489546999999</v>
      </c>
    </row>
    <row r="30" spans="1:9" hidden="1" x14ac:dyDescent="0.3">
      <c r="A30" s="30" t="s">
        <v>61</v>
      </c>
      <c r="B30" s="72" t="s">
        <v>2029</v>
      </c>
      <c r="C30" s="72">
        <v>2019</v>
      </c>
      <c r="D30" s="72">
        <f>COUNTIFS('📁 Panel DAES'!$D$3:$D$135,'Cobertura de Datos'!A9, '📁 Panel DAES'!$K$3:$K$135,"&lt;&gt;")</f>
        <v>6</v>
      </c>
      <c r="E30" s="73">
        <f>+AVERAGEIF('📁 Panel DAES'!$D$3:$D$135,C30,'📁 Panel DAES'!$K$3:$K$135)</f>
        <v>5506.6116906666675</v>
      </c>
      <c r="F30" s="73" cm="1">
        <f t="array" ref="F30">+MEDIAN(IF('📁 Panel DAES'!$D$3:$D$135=C30,'📁 Panel DAES'!$K$3:$K$135))</f>
        <v>6182.7509974999994</v>
      </c>
      <c r="G30" s="73" cm="1">
        <f t="array" ref="G30">+_xlfn.STDEV.S(IF('📁 Panel DAES'!$D$3:$D$135='Estadística Descriptiva'!C30,'📁 Panel DAES'!$K$3:$K$135))</f>
        <v>4478.4006986476252</v>
      </c>
      <c r="H30" s="73" cm="1">
        <f t="array" ref="H30">+MIN(IF('📁 Panel DAES'!$D$3:$D$135='Estadística Descriptiva'!C30,'📁 Panel DAES'!$K$3:$K$135))</f>
        <v>3.317151</v>
      </c>
      <c r="I30" s="73" cm="1">
        <f t="array" ref="I30">+MAX(IF('📁 Panel DAES'!$D$3:$D$135='Estadística Descriptiva'!C30,'📁 Panel DAES'!$K$3:$K$135))</f>
        <v>12489.057712</v>
      </c>
    </row>
    <row r="31" spans="1:9" hidden="1" x14ac:dyDescent="0.3">
      <c r="A31" s="30" t="s">
        <v>61</v>
      </c>
      <c r="B31" s="72" t="s">
        <v>2029</v>
      </c>
      <c r="C31" s="72">
        <v>2020</v>
      </c>
      <c r="D31" s="72">
        <f>COUNTIFS('📁 Panel DAES'!$D$3:$D$135,'Cobertura de Datos'!A10, '📁 Panel DAES'!$K$3:$K$135,"&lt;&gt;")</f>
        <v>9</v>
      </c>
      <c r="E31" s="73">
        <f>+AVERAGEIF('📁 Panel DAES'!$D$3:$D$135,C31,'📁 Panel DAES'!$K$3:$K$135)</f>
        <v>5233.191476</v>
      </c>
      <c r="F31" s="73" cm="1">
        <f t="array" ref="F31">+MEDIAN(IF('📁 Panel DAES'!$D$3:$D$135=C31,'📁 Panel DAES'!$K$3:$K$135))</f>
        <v>2537.7816505000001</v>
      </c>
      <c r="G31" s="73" cm="1">
        <f t="array" ref="G31">+_xlfn.STDEV.S(IF('📁 Panel DAES'!$D$3:$D$135='Estadística Descriptiva'!C31,'📁 Panel DAES'!$K$3:$K$135))</f>
        <v>5224.15326899707</v>
      </c>
      <c r="H31" s="73" cm="1">
        <f t="array" ref="H31">+MIN(IF('📁 Panel DAES'!$D$3:$D$135='Estadística Descriptiva'!C31,'📁 Panel DAES'!$K$3:$K$135))</f>
        <v>0</v>
      </c>
      <c r="I31" s="73" cm="1">
        <f t="array" ref="I31">+MAX(IF('📁 Panel DAES'!$D$3:$D$135='Estadística Descriptiva'!C31,'📁 Panel DAES'!$K$3:$K$135))</f>
        <v>14013.131018</v>
      </c>
    </row>
    <row r="32" spans="1:9" hidden="1" x14ac:dyDescent="0.3">
      <c r="A32" s="30" t="s">
        <v>61</v>
      </c>
      <c r="B32" s="72" t="s">
        <v>2029</v>
      </c>
      <c r="C32" s="72">
        <v>2021</v>
      </c>
      <c r="D32" s="72">
        <f>COUNTIFS('📁 Panel DAES'!$D$3:$D$135,'Cobertura de Datos'!A11, '📁 Panel DAES'!$K$3:$K$135,"&lt;&gt;")</f>
        <v>9</v>
      </c>
      <c r="E32" s="73">
        <f>+AVERAGEIF('📁 Panel DAES'!$D$3:$D$135,C32,'📁 Panel DAES'!$K$3:$K$135)</f>
        <v>5199.5572613333334</v>
      </c>
      <c r="F32" s="73" cm="1">
        <f t="array" ref="F32">+MEDIAN(IF('📁 Panel DAES'!$D$3:$D$135=C32,'📁 Panel DAES'!$K$3:$K$135))</f>
        <v>1941.5712470000001</v>
      </c>
      <c r="G32" s="73" cm="1">
        <f t="array" ref="G32">+_xlfn.STDEV.S(IF('📁 Panel DAES'!$D$3:$D$135='Estadística Descriptiva'!C32,'📁 Panel DAES'!$K$3:$K$135))</f>
        <v>5381.6450013998392</v>
      </c>
      <c r="H32" s="73" cm="1">
        <f t="array" ref="H32">+MIN(IF('📁 Panel DAES'!$D$3:$D$135='Estadística Descriptiva'!C32,'📁 Panel DAES'!$K$3:$K$135))</f>
        <v>0</v>
      </c>
      <c r="I32" s="73" cm="1">
        <f t="array" ref="I32">+MAX(IF('📁 Panel DAES'!$D$3:$D$135='Estadística Descriptiva'!C32,'📁 Panel DAES'!$K$3:$K$135))</f>
        <v>17342.468541999999</v>
      </c>
    </row>
    <row r="33" spans="1:9" hidden="1" x14ac:dyDescent="0.3">
      <c r="A33" s="30" t="s">
        <v>61</v>
      </c>
      <c r="B33" s="72" t="s">
        <v>2029</v>
      </c>
      <c r="C33" s="72">
        <v>2022</v>
      </c>
      <c r="D33" s="72">
        <f>COUNTIFS('📁 Panel DAES'!$D$3:$D$135,'Cobertura de Datos'!A12, '📁 Panel DAES'!$K$3:$K$135,"&lt;&gt;")</f>
        <v>17</v>
      </c>
      <c r="E33" s="73">
        <f>+AVERAGEIF('📁 Panel DAES'!$D$3:$D$135,C33,'📁 Panel DAES'!$K$3:$K$135)</f>
        <v>4975.8035164117655</v>
      </c>
      <c r="F33" s="73" cm="1">
        <f t="array" ref="F33">+MEDIAN(IF('📁 Panel DAES'!$D$3:$D$135=C33,'📁 Panel DAES'!$K$3:$K$135))</f>
        <v>2819.4288459999998</v>
      </c>
      <c r="G33" s="73" cm="1">
        <f t="array" ref="G33">+_xlfn.STDEV.S(IF('📁 Panel DAES'!$D$3:$D$135='Estadística Descriptiva'!C33,'📁 Panel DAES'!$K$3:$K$135))</f>
        <v>4451.9804405362911</v>
      </c>
      <c r="H33" s="73" cm="1">
        <f t="array" ref="H33">+MIN(IF('📁 Panel DAES'!$D$3:$D$135='Estadística Descriptiva'!C33,'📁 Panel DAES'!$K$3:$K$135))</f>
        <v>0</v>
      </c>
      <c r="I33" s="73" cm="1">
        <f t="array" ref="I33">+MAX(IF('📁 Panel DAES'!$D$3:$D$135='Estadística Descriptiva'!C33,'📁 Panel DAES'!$K$3:$K$135))</f>
        <v>15117.112437</v>
      </c>
    </row>
    <row r="34" spans="1:9" hidden="1" x14ac:dyDescent="0.3">
      <c r="A34" s="30" t="s">
        <v>61</v>
      </c>
      <c r="B34" s="72" t="s">
        <v>2029</v>
      </c>
      <c r="C34" s="72">
        <v>2023</v>
      </c>
      <c r="D34" s="72">
        <f>COUNTIFS('📁 Panel DAES'!$D$3:$D$135,'Cobertura de Datos'!A13, '📁 Panel DAES'!$K$3:$K$135,"&lt;&gt;")</f>
        <v>22</v>
      </c>
      <c r="E34" s="73">
        <f>+AVERAGEIF('📁 Panel DAES'!$D$3:$D$135,C34,'📁 Panel DAES'!$K$3:$K$135)</f>
        <v>7541.1513952272735</v>
      </c>
      <c r="F34" s="73" cm="1">
        <f t="array" ref="F34">+MEDIAN(IF('📁 Panel DAES'!$D$3:$D$135=C34,'📁 Panel DAES'!$K$3:$K$135))</f>
        <v>3692.0318605000002</v>
      </c>
      <c r="G34" s="73" cm="1">
        <f t="array" ref="G34">+_xlfn.STDEV.S(IF('📁 Panel DAES'!$D$3:$D$135='Estadística Descriptiva'!C34,'📁 Panel DAES'!$K$3:$K$135))</f>
        <v>8863.5066467192064</v>
      </c>
      <c r="H34" s="73" cm="1">
        <f t="array" ref="H34">+MIN(IF('📁 Panel DAES'!$D$3:$D$135='Estadística Descriptiva'!C34,'📁 Panel DAES'!$K$3:$K$135))</f>
        <v>0</v>
      </c>
      <c r="I34" s="73" cm="1">
        <f t="array" ref="I34">+MAX(IF('📁 Panel DAES'!$D$3:$D$135='Estadística Descriptiva'!C34,'📁 Panel DAES'!$K$3:$K$135))</f>
        <v>40048.603999999999</v>
      </c>
    </row>
    <row r="35" spans="1:9" hidden="1" x14ac:dyDescent="0.3">
      <c r="A35" s="30" t="s">
        <v>61</v>
      </c>
      <c r="B35" s="72" t="s">
        <v>2029</v>
      </c>
      <c r="C35" s="72">
        <v>2024</v>
      </c>
      <c r="D35" s="72">
        <f>COUNTIFS('📁 Panel DAES'!$D$3:$D$135,'Cobertura de Datos'!A14, '📁 Panel DAES'!$K$3:$K$135,"&lt;&gt;")</f>
        <v>12</v>
      </c>
      <c r="E35" s="73">
        <f>+AVERAGEIF('📁 Panel DAES'!$D$3:$D$135,C35,'📁 Panel DAES'!$K$3:$K$135)</f>
        <v>8993.5581137500012</v>
      </c>
      <c r="F35" s="73" cm="1">
        <f t="array" ref="F35">+MEDIAN(IF('📁 Panel DAES'!$D$3:$D$135=C35,'📁 Panel DAES'!$K$3:$K$135))</f>
        <v>4590.4824879999996</v>
      </c>
      <c r="G35" s="73" cm="1">
        <f t="array" ref="G35">+_xlfn.STDEV.S(IF('📁 Panel DAES'!$D$3:$D$135='Estadística Descriptiva'!C35,'📁 Panel DAES'!$K$3:$K$135))</f>
        <v>11339.012460416963</v>
      </c>
      <c r="H35" s="73" cm="1">
        <f t="array" ref="H35">+MIN(IF('📁 Panel DAES'!$D$3:$D$135='Estadística Descriptiva'!C35,'📁 Panel DAES'!$K$3:$K$135))</f>
        <v>42.551814</v>
      </c>
      <c r="I35" s="73" cm="1">
        <f t="array" ref="I35">+MAX(IF('📁 Panel DAES'!$D$3:$D$135='Estadística Descriptiva'!C35,'📁 Panel DAES'!$K$3:$K$135))</f>
        <v>41370.800000000003</v>
      </c>
    </row>
    <row r="36" spans="1:9" x14ac:dyDescent="0.3">
      <c r="A36" s="30" t="s">
        <v>61</v>
      </c>
      <c r="B36" s="72" t="s">
        <v>2030</v>
      </c>
      <c r="C36" s="72">
        <v>2014</v>
      </c>
      <c r="D36" s="72">
        <f>COUNTIFS('📁 Panel DAES'!$D$3:$D$135,'Cobertura de Datos'!A4, '📁 Panel DAES'!$L$3:$L$135,"&lt;&gt;")</f>
        <v>2</v>
      </c>
      <c r="E36" s="73">
        <f>+AVERAGEIF('📁 Panel DAES'!$D$3:$D$135,C36,'📁 Panel DAES'!$L$3:$L$135)</f>
        <v>566.26046650000001</v>
      </c>
      <c r="F36" s="73" cm="1">
        <f t="array" ref="F36">+MEDIAN(IF('📁 Panel DAES'!$D$3:$D$135=C36,'📁 Panel DAES'!$L$3:$L$135))</f>
        <v>566.26046650000012</v>
      </c>
      <c r="G36" s="73" cm="1">
        <f t="array" ref="G36">+_xlfn.STDEV.S(IF('📁 Panel DAES'!$D$3:$D$135='Estadística Descriptiva'!C36,'📁 Panel DAES'!$L$3:$L$135))</f>
        <v>773.84664389980026</v>
      </c>
      <c r="H36" s="73" cm="1">
        <f t="array" ref="H36">+MIN(IF('📁 Panel DAES'!$D$3:$D$135='Estadística Descriptiva'!C36,'📁 Panel DAES'!$L$3:$L$135))</f>
        <v>19.068256999999999</v>
      </c>
      <c r="I36" s="73" cm="1">
        <f t="array" ref="I36">+MAX(IF('📁 Panel DAES'!$D$3:$D$135='Estadística Descriptiva'!C36,'📁 Panel DAES'!$L$3:$L$135))</f>
        <v>1113.4526760000001</v>
      </c>
    </row>
    <row r="37" spans="1:9" hidden="1" x14ac:dyDescent="0.3">
      <c r="A37" s="30" t="s">
        <v>61</v>
      </c>
      <c r="B37" s="72" t="s">
        <v>2030</v>
      </c>
      <c r="C37" s="72">
        <v>2015</v>
      </c>
      <c r="D37" s="72">
        <f>COUNTIFS('📁 Panel DAES'!$D$3:$D$135,'Cobertura de Datos'!A5, '📁 Panel DAES'!$L$3:$L$135,"&lt;&gt;")</f>
        <v>7</v>
      </c>
      <c r="E37" s="73">
        <f>+AVERAGEIF('📁 Panel DAES'!$D$3:$D$135,C37,'📁 Panel DAES'!$L$3:$L$135)</f>
        <v>3823.1591985714294</v>
      </c>
      <c r="F37" s="73" cm="1">
        <f t="array" ref="F37">+MEDIAN(IF('📁 Panel DAES'!$D$3:$D$135=C37,'📁 Panel DAES'!$L$3:$L$135))</f>
        <v>379.71974799999998</v>
      </c>
      <c r="G37" s="73" cm="1">
        <f t="array" ref="G37">+_xlfn.STDEV.S(IF('📁 Panel DAES'!$D$3:$D$135='Estadística Descriptiva'!C37,'📁 Panel DAES'!$L$3:$L$135))</f>
        <v>8246.0566229304477</v>
      </c>
      <c r="H37" s="73" cm="1">
        <f t="array" ref="H37">+MIN(IF('📁 Panel DAES'!$D$3:$D$135='Estadística Descriptiva'!C37,'📁 Panel DAES'!$L$3:$L$135))</f>
        <v>0</v>
      </c>
      <c r="I37" s="73" cm="1">
        <f t="array" ref="I37">+MAX(IF('📁 Panel DAES'!$D$3:$D$135='Estadística Descriptiva'!C37,'📁 Panel DAES'!$L$3:$L$135))</f>
        <v>23719.670843</v>
      </c>
    </row>
    <row r="38" spans="1:9" hidden="1" x14ac:dyDescent="0.3">
      <c r="A38" s="30" t="s">
        <v>61</v>
      </c>
      <c r="B38" s="72" t="s">
        <v>2030</v>
      </c>
      <c r="C38" s="72">
        <v>2016</v>
      </c>
      <c r="D38" s="72">
        <f>COUNTIFS('📁 Panel DAES'!$D$3:$D$135,'Cobertura de Datos'!A6, '📁 Panel DAES'!$L$3:$L$135,"&lt;&gt;")</f>
        <v>7</v>
      </c>
      <c r="E38" s="73">
        <f>+AVERAGEIF('📁 Panel DAES'!$D$3:$D$135,C38,'📁 Panel DAES'!$L$3:$L$135)</f>
        <v>668.65743042857139</v>
      </c>
      <c r="F38" s="73" cm="1">
        <f t="array" ref="F38">+MEDIAN(IF('📁 Panel DAES'!$D$3:$D$135=C38,'📁 Panel DAES'!$L$3:$L$135))</f>
        <v>1.1486485</v>
      </c>
      <c r="G38" s="73" cm="1">
        <f t="array" ref="G38">+_xlfn.STDEV.S(IF('📁 Panel DAES'!$D$3:$D$135='Estadística Descriptiva'!C38,'📁 Panel DAES'!$L$3:$L$135))</f>
        <v>790.93578480542374</v>
      </c>
      <c r="H38" s="73" cm="1">
        <f t="array" ref="H38">+MIN(IF('📁 Panel DAES'!$D$3:$D$135='Estadística Descriptiva'!C38,'📁 Panel DAES'!$L$3:$L$135))</f>
        <v>0</v>
      </c>
      <c r="I38" s="73" cm="1">
        <f t="array" ref="I38">+MAX(IF('📁 Panel DAES'!$D$3:$D$135='Estadística Descriptiva'!C38,'📁 Panel DAES'!$L$3:$L$135))</f>
        <v>2370.6909019999998</v>
      </c>
    </row>
    <row r="39" spans="1:9" hidden="1" x14ac:dyDescent="0.3">
      <c r="A39" s="30" t="s">
        <v>61</v>
      </c>
      <c r="B39" s="72" t="s">
        <v>2030</v>
      </c>
      <c r="C39" s="72">
        <v>2017</v>
      </c>
      <c r="D39" s="72">
        <f>COUNTIFS('📁 Panel DAES'!$D$3:$D$135,'Cobertura de Datos'!A7, '📁 Panel DAES'!$L$3:$L$135,"&lt;&gt;")</f>
        <v>11</v>
      </c>
      <c r="E39" s="73">
        <f>+AVERAGEIF('📁 Panel DAES'!$D$3:$D$135,C39,'📁 Panel DAES'!$L$3:$L$135)</f>
        <v>1575.466281090909</v>
      </c>
      <c r="F39" s="73" cm="1">
        <f t="array" ref="F39">+MEDIAN(IF('📁 Panel DAES'!$D$3:$D$135=C39,'📁 Panel DAES'!$L$3:$L$135))</f>
        <v>383.08579400000002</v>
      </c>
      <c r="G39" s="73" cm="1">
        <f t="array" ref="G39">+_xlfn.STDEV.S(IF('📁 Panel DAES'!$D$3:$D$135='Estadística Descriptiva'!C39,'📁 Panel DAES'!$L$3:$L$135))</f>
        <v>2197.2655144815358</v>
      </c>
      <c r="H39" s="73" cm="1">
        <f t="array" ref="H39">+MIN(IF('📁 Panel DAES'!$D$3:$D$135='Estadística Descriptiva'!C39,'📁 Panel DAES'!$L$3:$L$135))</f>
        <v>0</v>
      </c>
      <c r="I39" s="73" cm="1">
        <f t="array" ref="I39">+MAX(IF('📁 Panel DAES'!$D$3:$D$135='Estadística Descriptiva'!C39,'📁 Panel DAES'!$L$3:$L$135))</f>
        <v>8261.1877430000004</v>
      </c>
    </row>
    <row r="40" spans="1:9" hidden="1" x14ac:dyDescent="0.3">
      <c r="A40" s="30" t="s">
        <v>61</v>
      </c>
      <c r="B40" s="72" t="s">
        <v>2030</v>
      </c>
      <c r="C40" s="72">
        <v>2018</v>
      </c>
      <c r="D40" s="72">
        <f>COUNTIFS('📁 Panel DAES'!$D$3:$D$135,'Cobertura de Datos'!A8, '📁 Panel DAES'!$L$3:$L$135,"&lt;&gt;")</f>
        <v>14</v>
      </c>
      <c r="E40" s="73">
        <f>+AVERAGEIF('📁 Panel DAES'!$D$3:$D$135,C40,'📁 Panel DAES'!$L$3:$L$135)</f>
        <v>1384.4530466428571</v>
      </c>
      <c r="F40" s="73" cm="1">
        <f t="array" ref="F40">+MEDIAN(IF('📁 Panel DAES'!$D$3:$D$135=C40,'📁 Panel DAES'!$L$3:$L$135))</f>
        <v>491.24374499999999</v>
      </c>
      <c r="G40" s="73" cm="1">
        <f t="array" ref="G40">+_xlfn.STDEV.S(IF('📁 Panel DAES'!$D$3:$D$135='Estadística Descriptiva'!C40,'📁 Panel DAES'!$L$3:$L$135))</f>
        <v>2193.6117652100825</v>
      </c>
      <c r="H40" s="73" cm="1">
        <f t="array" ref="H40">+MIN(IF('📁 Panel DAES'!$D$3:$D$135='Estadística Descriptiva'!C40,'📁 Panel DAES'!$L$3:$L$135))</f>
        <v>0</v>
      </c>
      <c r="I40" s="73" cm="1">
        <f t="array" ref="I40">+MAX(IF('📁 Panel DAES'!$D$3:$D$135='Estadística Descriptiva'!C40,'📁 Panel DAES'!$L$3:$L$135))</f>
        <v>8477.3637990000007</v>
      </c>
    </row>
    <row r="41" spans="1:9" hidden="1" x14ac:dyDescent="0.3">
      <c r="A41" s="30" t="s">
        <v>61</v>
      </c>
      <c r="B41" s="72" t="s">
        <v>2030</v>
      </c>
      <c r="C41" s="72">
        <v>2019</v>
      </c>
      <c r="D41" s="72">
        <f>COUNTIFS('📁 Panel DAES'!$D$3:$D$135,'Cobertura de Datos'!A9, '📁 Panel DAES'!$L$3:$L$135,"&lt;&gt;")</f>
        <v>6</v>
      </c>
      <c r="E41" s="73">
        <f>+AVERAGEIF('📁 Panel DAES'!$D$3:$D$135,C41,'📁 Panel DAES'!$L$3:$L$135)</f>
        <v>2482.2662311666668</v>
      </c>
      <c r="F41" s="73" cm="1">
        <f t="array" ref="F41">+MEDIAN(IF('📁 Panel DAES'!$D$3:$D$135=C41,'📁 Panel DAES'!$L$3:$L$135))</f>
        <v>1133.2453624999998</v>
      </c>
      <c r="G41" s="73" cm="1">
        <f t="array" ref="G41">+_xlfn.STDEV.S(IF('📁 Panel DAES'!$D$3:$D$135='Estadística Descriptiva'!C41,'📁 Panel DAES'!$L$3:$L$135))</f>
        <v>2777.4275735222004</v>
      </c>
      <c r="H41" s="73" cm="1">
        <f t="array" ref="H41">+MIN(IF('📁 Panel DAES'!$D$3:$D$135='Estadística Descriptiva'!C41,'📁 Panel DAES'!$L$3:$L$135))</f>
        <v>1.388231</v>
      </c>
      <c r="I41" s="73" cm="1">
        <f t="array" ref="I41">+MAX(IF('📁 Panel DAES'!$D$3:$D$135='Estadística Descriptiva'!C41,'📁 Panel DAES'!$L$3:$L$135))</f>
        <v>6660.1536539999997</v>
      </c>
    </row>
    <row r="42" spans="1:9" hidden="1" x14ac:dyDescent="0.3">
      <c r="A42" s="30" t="s">
        <v>61</v>
      </c>
      <c r="B42" s="72" t="s">
        <v>2030</v>
      </c>
      <c r="C42" s="72">
        <v>2020</v>
      </c>
      <c r="D42" s="72">
        <f>COUNTIFS('📁 Panel DAES'!$D$3:$D$135,'Cobertura de Datos'!A10, '📁 Panel DAES'!$L$3:$L$135,"&lt;&gt;")</f>
        <v>9</v>
      </c>
      <c r="E42" s="73">
        <f>+AVERAGEIF('📁 Panel DAES'!$D$3:$D$135,C42,'📁 Panel DAES'!$L$3:$L$135)</f>
        <v>2626.6320332222222</v>
      </c>
      <c r="F42" s="73" cm="1">
        <f t="array" ref="F42">+MEDIAN(IF('📁 Panel DAES'!$D$3:$D$135=C42,'📁 Panel DAES'!$L$3:$L$135))</f>
        <v>1225.8241379999999</v>
      </c>
      <c r="G42" s="73" cm="1">
        <f t="array" ref="G42">+_xlfn.STDEV.S(IF('📁 Panel DAES'!$D$3:$D$135='Estadística Descriptiva'!C42,'📁 Panel DAES'!$L$3:$L$135))</f>
        <v>2691.4513320608826</v>
      </c>
      <c r="H42" s="73" cm="1">
        <f t="array" ref="H42">+MIN(IF('📁 Panel DAES'!$D$3:$D$135='Estadística Descriptiva'!C42,'📁 Panel DAES'!$L$3:$L$135))</f>
        <v>0</v>
      </c>
      <c r="I42" s="73" cm="1">
        <f t="array" ref="I42">+MAX(IF('📁 Panel DAES'!$D$3:$D$135='Estadística Descriptiva'!C42,'📁 Panel DAES'!$L$3:$L$135))</f>
        <v>6783.9059999999999</v>
      </c>
    </row>
    <row r="43" spans="1:9" hidden="1" x14ac:dyDescent="0.3">
      <c r="A43" s="30" t="s">
        <v>61</v>
      </c>
      <c r="B43" s="72" t="s">
        <v>2030</v>
      </c>
      <c r="C43" s="72">
        <v>2021</v>
      </c>
      <c r="D43" s="72">
        <f>COUNTIFS('📁 Panel DAES'!$D$3:$D$135,'Cobertura de Datos'!A11, '📁 Panel DAES'!$L$3:$L$135,"&lt;&gt;")</f>
        <v>9</v>
      </c>
      <c r="E43" s="73">
        <f>+AVERAGEIF('📁 Panel DAES'!$D$3:$D$135,C43,'📁 Panel DAES'!$L$3:$L$135)</f>
        <v>2789.2936972222224</v>
      </c>
      <c r="F43" s="73" cm="1">
        <f t="array" ref="F43">+MEDIAN(IF('📁 Panel DAES'!$D$3:$D$135=C43,'📁 Panel DAES'!$L$3:$L$135))</f>
        <v>1336.762659</v>
      </c>
      <c r="G43" s="73" cm="1">
        <f t="array" ref="G43">+_xlfn.STDEV.S(IF('📁 Panel DAES'!$D$3:$D$135='Estadística Descriptiva'!C43,'📁 Panel DAES'!$L$3:$L$135))</f>
        <v>2843.7840031152546</v>
      </c>
      <c r="H43" s="73" cm="1">
        <f t="array" ref="H43">+MIN(IF('📁 Panel DAES'!$D$3:$D$135='Estadística Descriptiva'!C43,'📁 Panel DAES'!$L$3:$L$135))</f>
        <v>0</v>
      </c>
      <c r="I43" s="73" cm="1">
        <f t="array" ref="I43">+MAX(IF('📁 Panel DAES'!$D$3:$D$135='Estadística Descriptiva'!C43,'📁 Panel DAES'!$L$3:$L$135))</f>
        <v>7440.152</v>
      </c>
    </row>
    <row r="44" spans="1:9" hidden="1" x14ac:dyDescent="0.3">
      <c r="A44" s="30" t="s">
        <v>61</v>
      </c>
      <c r="B44" s="72" t="s">
        <v>2030</v>
      </c>
      <c r="C44" s="72">
        <v>2022</v>
      </c>
      <c r="D44" s="72">
        <f>COUNTIFS('📁 Panel DAES'!$D$3:$D$135,'Cobertura de Datos'!A12, '📁 Panel DAES'!$L$3:$L$135,"&lt;&gt;")</f>
        <v>17</v>
      </c>
      <c r="E44" s="73">
        <f>+AVERAGEIF('📁 Panel DAES'!$D$3:$D$135,C44,'📁 Panel DAES'!$L$3:$L$135)</f>
        <v>2724.2012151764707</v>
      </c>
      <c r="F44" s="73" cm="1">
        <f t="array" ref="F44">+MEDIAN(IF('📁 Panel DAES'!$D$3:$D$135=C44,'📁 Panel DAES'!$L$3:$L$135))</f>
        <v>1532.645121</v>
      </c>
      <c r="G44" s="73" cm="1">
        <f t="array" ref="G44">+_xlfn.STDEV.S(IF('📁 Panel DAES'!$D$3:$D$135='Estadística Descriptiva'!C44,'📁 Panel DAES'!$L$3:$L$135))</f>
        <v>2515.7354765703772</v>
      </c>
      <c r="H44" s="73" cm="1">
        <f t="array" ref="H44">+MIN(IF('📁 Panel DAES'!$D$3:$D$135='Estadística Descriptiva'!C44,'📁 Panel DAES'!$L$3:$L$135))</f>
        <v>0</v>
      </c>
      <c r="I44" s="73" cm="1">
        <f t="array" ref="I44">+MAX(IF('📁 Panel DAES'!$D$3:$D$135='Estadística Descriptiva'!C44,'📁 Panel DAES'!$L$3:$L$135))</f>
        <v>8289.0516640000005</v>
      </c>
    </row>
    <row r="45" spans="1:9" hidden="1" x14ac:dyDescent="0.3">
      <c r="A45" s="30" t="s">
        <v>61</v>
      </c>
      <c r="B45" s="72" t="s">
        <v>2030</v>
      </c>
      <c r="C45" s="72">
        <v>2023</v>
      </c>
      <c r="D45" s="72">
        <f>COUNTIFS('📁 Panel DAES'!$D$3:$D$135,'Cobertura de Datos'!A13, '📁 Panel DAES'!$L$3:$L$135,"&lt;&gt;")</f>
        <v>22</v>
      </c>
      <c r="E45" s="73">
        <f>+AVERAGEIF('📁 Panel DAES'!$D$3:$D$135,C45,'📁 Panel DAES'!$L$3:$L$135)</f>
        <v>3257.089195272727</v>
      </c>
      <c r="F45" s="73" cm="1">
        <f t="array" ref="F45">+MEDIAN(IF('📁 Panel DAES'!$D$3:$D$135=C45,'📁 Panel DAES'!$L$3:$L$135))</f>
        <v>1516.0313415000001</v>
      </c>
      <c r="G45" s="73" cm="1">
        <f t="array" ref="G45">+_xlfn.STDEV.S(IF('📁 Panel DAES'!$D$3:$D$135='Estadística Descriptiva'!C45,'📁 Panel DAES'!$L$3:$L$135))</f>
        <v>3038.0597102932875</v>
      </c>
      <c r="H45" s="73" cm="1">
        <f t="array" ref="H45">+MIN(IF('📁 Panel DAES'!$D$3:$D$135='Estadística Descriptiva'!C45,'📁 Panel DAES'!$L$3:$L$135))</f>
        <v>0</v>
      </c>
      <c r="I45" s="73" cm="1">
        <f t="array" ref="I45">+MAX(IF('📁 Panel DAES'!$D$3:$D$135='Estadística Descriptiva'!C45,'📁 Panel DAES'!$L$3:$L$135))</f>
        <v>9413.5630000000001</v>
      </c>
    </row>
    <row r="46" spans="1:9" hidden="1" x14ac:dyDescent="0.3">
      <c r="A46" s="30" t="s">
        <v>61</v>
      </c>
      <c r="B46" s="72" t="s">
        <v>2030</v>
      </c>
      <c r="C46" s="72">
        <v>2024</v>
      </c>
      <c r="D46" s="72">
        <f>COUNTIFS('📁 Panel DAES'!$D$3:$D$135,'Cobertura de Datos'!A14, '📁 Panel DAES'!$L$3:$L$135,"&lt;&gt;")</f>
        <v>12</v>
      </c>
      <c r="E46" s="73">
        <f>+AVERAGEIF('📁 Panel DAES'!$D$3:$D$135,C46,'📁 Panel DAES'!$L$3:$L$135)</f>
        <v>3692.6634092499994</v>
      </c>
      <c r="F46" s="73" cm="1">
        <f t="array" ref="F46">+MEDIAN(IF('📁 Panel DAES'!$D$3:$D$135=C46,'📁 Panel DAES'!$L$3:$L$135))</f>
        <v>2743.3375040000001</v>
      </c>
      <c r="G46" s="73" cm="1">
        <f t="array" ref="G46">+_xlfn.STDEV.S(IF('📁 Panel DAES'!$D$3:$D$135='Estadística Descriptiva'!C46,'📁 Panel DAES'!$L$3:$L$135))</f>
        <v>3143.1270222445787</v>
      </c>
      <c r="H46" s="73" cm="1">
        <f t="array" ref="H46">+MIN(IF('📁 Panel DAES'!$D$3:$D$135='Estadística Descriptiva'!C46,'📁 Panel DAES'!$L$3:$L$135))</f>
        <v>4.0763040000000004</v>
      </c>
      <c r="I46" s="73" cm="1">
        <f t="array" ref="I46">+MAX(IF('📁 Panel DAES'!$D$3:$D$135='Estadística Descriptiva'!C46,'📁 Panel DAES'!$L$3:$L$135))</f>
        <v>10163.465</v>
      </c>
    </row>
    <row r="47" spans="1:9" x14ac:dyDescent="0.3">
      <c r="A47" s="30" t="s">
        <v>61</v>
      </c>
      <c r="B47" s="72" t="s">
        <v>2027</v>
      </c>
      <c r="C47" s="72">
        <v>2014</v>
      </c>
      <c r="D47" s="72">
        <f>COUNTIFS('📁 Panel DAES'!$D$3:$D$135,'Cobertura de Datos'!A4, '📁 Panel DAES'!$M$3:$M$135,"&lt;&gt;")</f>
        <v>2</v>
      </c>
      <c r="E47" s="73">
        <f>+AVERAGEIF('📁 Panel DAES'!$D$3:$D$135,C47,'📁 Panel DAES'!$M$3:$M$135)</f>
        <v>36.311861</v>
      </c>
      <c r="F47" s="73" cm="1">
        <f t="array" ref="F47">+MEDIAN(IF('📁 Panel DAES'!$D$3:$D$135=C47,'📁 Panel DAES'!$M$3:$M$135))</f>
        <v>36.311861</v>
      </c>
      <c r="G47" s="73" cm="1">
        <f t="array" ref="G47">+_xlfn.STDEV.S(IF('📁 Panel DAES'!$D$3:$D$135='Estadística Descriptiva'!C47,'📁 Panel DAES'!$M$3:$M$135))</f>
        <v>4.6647622222842173</v>
      </c>
      <c r="H47" s="73" cm="1">
        <f t="array" ref="H47">+MIN(IF('📁 Panel DAES'!$D$3:$D$135='Estadística Descriptiva'!C47,'📁 Panel DAES'!$M$3:$M$135))</f>
        <v>33.013376000000001</v>
      </c>
      <c r="I47" s="73" cm="1">
        <f t="array" ref="I47">+MAX(IF('📁 Panel DAES'!$D$3:$D$135='Estadística Descriptiva'!C47,'📁 Panel DAES'!$M$3:$M$135))</f>
        <v>39.610346</v>
      </c>
    </row>
    <row r="48" spans="1:9" hidden="1" x14ac:dyDescent="0.3">
      <c r="A48" s="30" t="s">
        <v>61</v>
      </c>
      <c r="B48" s="72" t="s">
        <v>2027</v>
      </c>
      <c r="C48" s="72">
        <v>2015</v>
      </c>
      <c r="D48" s="72">
        <f>COUNTIFS('📁 Panel DAES'!$D$3:$D$135,'Cobertura de Datos'!A5, '📁 Panel DAES'!$M$3:$M$135,"&lt;&gt;")</f>
        <v>7</v>
      </c>
      <c r="E48" s="73">
        <f>+AVERAGEIF('📁 Panel DAES'!$D$3:$D$135,C48,'📁 Panel DAES'!$M$3:$M$135)</f>
        <v>713.80921585714282</v>
      </c>
      <c r="F48" s="73" cm="1">
        <f t="array" ref="F48">+MEDIAN(IF('📁 Panel DAES'!$D$3:$D$135=C48,'📁 Panel DAES'!$M$3:$M$135))</f>
        <v>32.397901000000005</v>
      </c>
      <c r="G48" s="73" cm="1">
        <f t="array" ref="G48">+_xlfn.STDEV.S(IF('📁 Panel DAES'!$D$3:$D$135='Estadística Descriptiva'!C48,'📁 Panel DAES'!$M$3:$M$135))</f>
        <v>1460.0921113947652</v>
      </c>
      <c r="H48" s="73" cm="1">
        <f t="array" ref="H48">+MIN(IF('📁 Panel DAES'!$D$3:$D$135='Estadística Descriptiva'!C48,'📁 Panel DAES'!$M$3:$M$135))</f>
        <v>0</v>
      </c>
      <c r="I48" s="73" cm="1">
        <f t="array" ref="I48">+MAX(IF('📁 Panel DAES'!$D$3:$D$135='Estadística Descriptiva'!C48,'📁 Panel DAES'!$M$3:$M$135))</f>
        <v>4202.1047669999998</v>
      </c>
    </row>
    <row r="49" spans="1:9" hidden="1" x14ac:dyDescent="0.3">
      <c r="A49" s="30" t="s">
        <v>61</v>
      </c>
      <c r="B49" s="72" t="s">
        <v>2027</v>
      </c>
      <c r="C49" s="72">
        <v>2016</v>
      </c>
      <c r="D49" s="72">
        <f>COUNTIFS('📁 Panel DAES'!$D$3:$D$135,'Cobertura de Datos'!A6, '📁 Panel DAES'!$M$3:$M$135,"&lt;&gt;")</f>
        <v>7</v>
      </c>
      <c r="E49" s="73">
        <f>+AVERAGEIF('📁 Panel DAES'!$D$3:$D$135,C49,'📁 Panel DAES'!$M$3:$M$135)</f>
        <v>722.95277742857138</v>
      </c>
      <c r="F49" s="73" cm="1">
        <f t="array" ref="F49">+MEDIAN(IF('📁 Panel DAES'!$D$3:$D$135=C49,'📁 Panel DAES'!$M$3:$M$135))</f>
        <v>1.9520314999999999</v>
      </c>
      <c r="G49" s="73" cm="1">
        <f t="array" ref="G49">+_xlfn.STDEV.S(IF('📁 Panel DAES'!$D$3:$D$135='Estadística Descriptiva'!C49,'📁 Panel DAES'!$M$3:$M$135))</f>
        <v>1504.3253178706054</v>
      </c>
      <c r="H49" s="73" cm="1">
        <f t="array" ref="H49">+MIN(IF('📁 Panel DAES'!$D$3:$D$135='Estadística Descriptiva'!C49,'📁 Panel DAES'!$M$3:$M$135))</f>
        <v>0</v>
      </c>
      <c r="I49" s="73" cm="1">
        <f t="array" ref="I49">+MAX(IF('📁 Panel DAES'!$D$3:$D$135='Estadística Descriptiva'!C49,'📁 Panel DAES'!$M$3:$M$135))</f>
        <v>4783.8802059999998</v>
      </c>
    </row>
    <row r="50" spans="1:9" hidden="1" x14ac:dyDescent="0.3">
      <c r="A50" s="30" t="s">
        <v>61</v>
      </c>
      <c r="B50" s="72" t="s">
        <v>2027</v>
      </c>
      <c r="C50" s="72">
        <v>2017</v>
      </c>
      <c r="D50" s="72">
        <f>COUNTIFS('📁 Panel DAES'!$D$3:$D$135,'Cobertura de Datos'!A7, '📁 Panel DAES'!$M$3:$M$135,"&lt;&gt;")</f>
        <v>8</v>
      </c>
      <c r="E50" s="73">
        <f>+AVERAGEIF('📁 Panel DAES'!$D$3:$D$135,C50,'📁 Panel DAES'!$M$3:$M$135)</f>
        <v>1091.6671555</v>
      </c>
      <c r="F50" s="73" cm="1">
        <f t="array" ref="F50">+MEDIAN(IF('📁 Panel DAES'!$D$3:$D$135=C50,'📁 Panel DAES'!$M$3:$M$135))</f>
        <v>1.2249814999999999</v>
      </c>
      <c r="G50" s="73" cm="1">
        <f t="array" ref="G50">+_xlfn.STDEV.S(IF('📁 Panel DAES'!$D$3:$D$135='Estadística Descriptiva'!C50,'📁 Panel DAES'!$M$3:$M$135))</f>
        <v>1280.5416349906507</v>
      </c>
      <c r="H50" s="73" cm="1">
        <f t="array" ref="H50">+MIN(IF('📁 Panel DAES'!$D$3:$D$135='Estadística Descriptiva'!C50,'📁 Panel DAES'!$M$3:$M$135))</f>
        <v>0</v>
      </c>
      <c r="I50" s="73" cm="1">
        <f t="array" ref="I50">+MAX(IF('📁 Panel DAES'!$D$3:$D$135='Estadística Descriptiva'!C50,'📁 Panel DAES'!$M$3:$M$135))</f>
        <v>4177.8370000000004</v>
      </c>
    </row>
    <row r="51" spans="1:9" hidden="1" x14ac:dyDescent="0.3">
      <c r="A51" s="30" t="s">
        <v>61</v>
      </c>
      <c r="B51" s="72" t="s">
        <v>2027</v>
      </c>
      <c r="C51" s="72">
        <v>2018</v>
      </c>
      <c r="D51" s="72">
        <f>COUNTIFS('📁 Panel DAES'!$D$3:$D$135,'Cobertura de Datos'!A8, '📁 Panel DAES'!$M$3:$M$135,"&lt;&gt;")</f>
        <v>11</v>
      </c>
      <c r="E51" s="73">
        <f>+AVERAGEIF('📁 Panel DAES'!$D$3:$D$135,C51,'📁 Panel DAES'!$M$3:$M$135)</f>
        <v>1147.2630728181819</v>
      </c>
      <c r="F51" s="73" cm="1">
        <f t="array" ref="F51">+MEDIAN(IF('📁 Panel DAES'!$D$3:$D$135=C51,'📁 Panel DAES'!$M$3:$M$135))</f>
        <v>33.258276500000001</v>
      </c>
      <c r="G51" s="73" cm="1">
        <f t="array" ref="G51">+_xlfn.STDEV.S(IF('📁 Panel DAES'!$D$3:$D$135='Estadística Descriptiva'!C51,'📁 Panel DAES'!$M$3:$M$135))</f>
        <v>1362.1090623544294</v>
      </c>
      <c r="H51" s="73" cm="1">
        <f t="array" ref="H51">+MIN(IF('📁 Panel DAES'!$D$3:$D$135='Estadística Descriptiva'!C51,'📁 Panel DAES'!$M$3:$M$135))</f>
        <v>0</v>
      </c>
      <c r="I51" s="73" cm="1">
        <f t="array" ref="I51">+MAX(IF('📁 Panel DAES'!$D$3:$D$135='Estadística Descriptiva'!C51,'📁 Panel DAES'!$M$3:$M$135))</f>
        <v>4014.9294829999999</v>
      </c>
    </row>
    <row r="52" spans="1:9" hidden="1" x14ac:dyDescent="0.3">
      <c r="A52" s="30" t="s">
        <v>61</v>
      </c>
      <c r="B52" s="72" t="s">
        <v>2027</v>
      </c>
      <c r="C52" s="72">
        <v>2019</v>
      </c>
      <c r="D52" s="72">
        <f>COUNTIFS('📁 Panel DAES'!$D$3:$D$135,'Cobertura de Datos'!A9, '📁 Panel DAES'!$M$3:$M$135,"&lt;&gt;")</f>
        <v>6</v>
      </c>
      <c r="E52" s="73">
        <f>+AVERAGEIF('📁 Panel DAES'!$D$3:$D$135,C52,'📁 Panel DAES'!$M$3:$M$135)</f>
        <v>2564.5125933333334</v>
      </c>
      <c r="F52" s="73" cm="1">
        <f t="array" ref="F52">+MEDIAN(IF('📁 Panel DAES'!$D$3:$D$135=C52,'📁 Panel DAES'!$M$3:$M$135))</f>
        <v>2274.9676055000004</v>
      </c>
      <c r="G52" s="73" cm="1">
        <f t="array" ref="G52">+_xlfn.STDEV.S(IF('📁 Panel DAES'!$D$3:$D$135='Estadística Descriptiva'!C52,'📁 Panel DAES'!$M$3:$M$135))</f>
        <v>2790.8768114463192</v>
      </c>
      <c r="H52" s="73" cm="1">
        <f t="array" ref="H52">+MIN(IF('📁 Panel DAES'!$D$3:$D$135='Estadística Descriptiva'!C52,'📁 Panel DAES'!$M$3:$M$135))</f>
        <v>1.246578</v>
      </c>
      <c r="I52" s="73" cm="1">
        <f t="array" ref="I52">+MAX(IF('📁 Panel DAES'!$D$3:$D$135='Estadística Descriptiva'!C52,'📁 Panel DAES'!$M$3:$M$135))</f>
        <v>5618.2172369999998</v>
      </c>
    </row>
    <row r="53" spans="1:9" hidden="1" x14ac:dyDescent="0.3">
      <c r="A53" s="30" t="s">
        <v>61</v>
      </c>
      <c r="B53" s="72" t="s">
        <v>2027</v>
      </c>
      <c r="C53" s="72">
        <v>2020</v>
      </c>
      <c r="D53" s="72">
        <f>COUNTIFS('📁 Panel DAES'!$D$3:$D$135,'Cobertura de Datos'!A10, '📁 Panel DAES'!$M$3:$M$135,"&lt;&gt;")</f>
        <v>9</v>
      </c>
      <c r="E53" s="73">
        <f>+AVERAGEIF('📁 Panel DAES'!$D$3:$D$135,C53,'📁 Panel DAES'!$M$3:$M$135)</f>
        <v>2367.339579777778</v>
      </c>
      <c r="F53" s="73" cm="1">
        <f t="array" ref="F53">+MEDIAN(IF('📁 Panel DAES'!$D$3:$D$135=C53,'📁 Panel DAES'!$M$3:$M$135))</f>
        <v>517.07151199999998</v>
      </c>
      <c r="G53" s="73" cm="1">
        <f t="array" ref="G53">+_xlfn.STDEV.S(IF('📁 Panel DAES'!$D$3:$D$135='Estadística Descriptiva'!C53,'📁 Panel DAES'!$M$3:$M$135))</f>
        <v>2949.4969678063098</v>
      </c>
      <c r="H53" s="73" cm="1">
        <f t="array" ref="H53">+MIN(IF('📁 Panel DAES'!$D$3:$D$135='Estadística Descriptiva'!C53,'📁 Panel DAES'!$M$3:$M$135))</f>
        <v>0</v>
      </c>
      <c r="I53" s="73" cm="1">
        <f t="array" ref="I53">+MAX(IF('📁 Panel DAES'!$D$3:$D$135='Estadística Descriptiva'!C53,'📁 Panel DAES'!$M$3:$M$135))</f>
        <v>6590.123184</v>
      </c>
    </row>
    <row r="54" spans="1:9" hidden="1" x14ac:dyDescent="0.3">
      <c r="A54" s="30" t="s">
        <v>61</v>
      </c>
      <c r="B54" s="72" t="s">
        <v>2027</v>
      </c>
      <c r="C54" s="72">
        <v>2021</v>
      </c>
      <c r="D54" s="72">
        <f>COUNTIFS('📁 Panel DAES'!$D$3:$D$135,'Cobertura de Datos'!A11, '📁 Panel DAES'!$M$3:$M$135,"&lt;&gt;")</f>
        <v>9</v>
      </c>
      <c r="E54" s="73">
        <f>+AVERAGEIF('📁 Panel DAES'!$D$3:$D$135,C54,'📁 Panel DAES'!$M$3:$M$135)</f>
        <v>2188.1621484444445</v>
      </c>
      <c r="F54" s="73" cm="1">
        <f t="array" ref="F54">+MEDIAN(IF('📁 Panel DAES'!$D$3:$D$135=C54,'📁 Panel DAES'!$M$3:$M$135))</f>
        <v>74.755297999999996</v>
      </c>
      <c r="G54" s="73" cm="1">
        <f t="array" ref="G54">+_xlfn.STDEV.S(IF('📁 Panel DAES'!$D$3:$D$135='Estadística Descriptiva'!C54,'📁 Panel DAES'!$M$3:$M$135))</f>
        <v>2880.077657338717</v>
      </c>
      <c r="H54" s="73" cm="1">
        <f t="array" ref="H54">+MIN(IF('📁 Panel DAES'!$D$3:$D$135='Estadística Descriptiva'!C54,'📁 Panel DAES'!$M$3:$M$135))</f>
        <v>0</v>
      </c>
      <c r="I54" s="73" cm="1">
        <f t="array" ref="I54">+MAX(IF('📁 Panel DAES'!$D$3:$D$135='Estadística Descriptiva'!C54,'📁 Panel DAES'!$M$3:$M$135))</f>
        <v>8471.0750239999998</v>
      </c>
    </row>
    <row r="55" spans="1:9" hidden="1" x14ac:dyDescent="0.3">
      <c r="A55" s="30" t="s">
        <v>61</v>
      </c>
      <c r="B55" s="72" t="s">
        <v>2027</v>
      </c>
      <c r="C55" s="72">
        <v>2022</v>
      </c>
      <c r="D55" s="72">
        <f>COUNTIFS('📁 Panel DAES'!$D$3:$D$135,'Cobertura de Datos'!A12, '📁 Panel DAES'!$M$3:$M$135,"&lt;&gt;")</f>
        <v>16</v>
      </c>
      <c r="E55" s="73">
        <f>+AVERAGEIF('📁 Panel DAES'!$D$3:$D$135,C55,'📁 Panel DAES'!$M$3:$M$135)</f>
        <v>2134.0893697500001</v>
      </c>
      <c r="F55" s="73" cm="1">
        <f t="array" ref="F55">+MEDIAN(IF('📁 Panel DAES'!$D$3:$D$135=C55,'📁 Panel DAES'!$M$3:$M$135))</f>
        <v>860.00942499999996</v>
      </c>
      <c r="G55" s="73" cm="1">
        <f t="array" ref="G55">+_xlfn.STDEV.S(IF('📁 Panel DAES'!$D$3:$D$135='Estadística Descriptiva'!C55,'📁 Panel DAES'!$M$3:$M$135))</f>
        <v>2236.8126793139322</v>
      </c>
      <c r="H55" s="73" cm="1">
        <f t="array" ref="H55">+MIN(IF('📁 Panel DAES'!$D$3:$D$135='Estadística Descriptiva'!C55,'📁 Panel DAES'!$M$3:$M$135))</f>
        <v>0</v>
      </c>
      <c r="I55" s="73" cm="1">
        <f t="array" ref="I55">+MAX(IF('📁 Panel DAES'!$D$3:$D$135='Estadística Descriptiva'!C55,'📁 Panel DAES'!$M$3:$M$135))</f>
        <v>7271.1127580000002</v>
      </c>
    </row>
    <row r="56" spans="1:9" hidden="1" x14ac:dyDescent="0.3">
      <c r="A56" s="30" t="s">
        <v>61</v>
      </c>
      <c r="B56" s="72" t="s">
        <v>2027</v>
      </c>
      <c r="C56" s="72">
        <v>2023</v>
      </c>
      <c r="D56" s="72">
        <f>COUNTIFS('📁 Panel DAES'!$D$3:$D$135,'Cobertura de Datos'!A13, '📁 Panel DAES'!$M$3:$M$135,"&lt;&gt;")</f>
        <v>20</v>
      </c>
      <c r="E56" s="73">
        <f>+AVERAGEIF('📁 Panel DAES'!$D$3:$D$135,C56,'📁 Panel DAES'!$M$3:$M$135)</f>
        <v>4367.6573769500001</v>
      </c>
      <c r="F56" s="73" cm="1">
        <f t="array" ref="F56">+MEDIAN(IF('📁 Panel DAES'!$D$3:$D$135=C56,'📁 Panel DAES'!$M$3:$M$135))</f>
        <v>867.81257449999998</v>
      </c>
      <c r="G56" s="73" cm="1">
        <f t="array" ref="G56">+_xlfn.STDEV.S(IF('📁 Panel DAES'!$D$3:$D$135='Estadística Descriptiva'!C56,'📁 Panel DAES'!$M$3:$M$135))</f>
        <v>6067.504485282594</v>
      </c>
      <c r="H56" s="73" cm="1">
        <f t="array" ref="H56">+MIN(IF('📁 Panel DAES'!$D$3:$D$135='Estadística Descriptiva'!C56,'📁 Panel DAES'!$M$3:$M$135))</f>
        <v>0</v>
      </c>
      <c r="I56" s="73" cm="1">
        <f t="array" ref="I56">+MAX(IF('📁 Panel DAES'!$D$3:$D$135='Estadística Descriptiva'!C56,'📁 Panel DAES'!$M$3:$M$135))</f>
        <v>26433.091</v>
      </c>
    </row>
    <row r="57" spans="1:9" hidden="1" x14ac:dyDescent="0.3">
      <c r="A57" s="30" t="s">
        <v>61</v>
      </c>
      <c r="B57" s="72" t="s">
        <v>2027</v>
      </c>
      <c r="C57" s="72">
        <v>2024</v>
      </c>
      <c r="D57" s="72">
        <f>COUNTIFS('📁 Panel DAES'!$D$3:$D$135,'Cobertura de Datos'!A14, '📁 Panel DAES'!$M$3:$M$135,"&lt;&gt;")</f>
        <v>11</v>
      </c>
      <c r="E57" s="73">
        <f>+AVERAGEIF('📁 Panel DAES'!$D$3:$D$135,C57,'📁 Panel DAES'!$M$3:$M$135)</f>
        <v>5436.2639229999995</v>
      </c>
      <c r="F57" s="73" cm="1">
        <f t="array" ref="F57">+MEDIAN(IF('📁 Panel DAES'!$D$3:$D$135=C57,'📁 Panel DAES'!$M$3:$M$135))</f>
        <v>2163.1368210000001</v>
      </c>
      <c r="G57" s="73" cm="1">
        <f t="array" ref="G57">+_xlfn.STDEV.S(IF('📁 Panel DAES'!$D$3:$D$135='Estadística Descriptiva'!C57,'📁 Panel DAES'!$M$3:$M$135))</f>
        <v>8041.484925763908</v>
      </c>
      <c r="H57" s="73" cm="1">
        <f t="array" ref="H57">+MIN(IF('📁 Panel DAES'!$D$3:$D$135='Estadística Descriptiva'!C57,'📁 Panel DAES'!$M$3:$M$135))</f>
        <v>0</v>
      </c>
      <c r="I57" s="73" cm="1">
        <f t="array" ref="I57">+MAX(IF('📁 Panel DAES'!$D$3:$D$135='Estadística Descriptiva'!C57,'📁 Panel DAES'!$M$3:$M$135))</f>
        <v>28369.725999999999</v>
      </c>
    </row>
    <row r="58" spans="1:9" x14ac:dyDescent="0.3">
      <c r="A58" s="30" t="s">
        <v>61</v>
      </c>
      <c r="B58" s="72" t="s">
        <v>2028</v>
      </c>
      <c r="C58" s="72">
        <v>2014</v>
      </c>
      <c r="D58" s="72">
        <f>COUNTIFS('📁 Panel DAES'!$D$3:$D$135,'Cobertura de Datos'!A4, '📁 Panel DAES'!$N$3:$N$135,"&lt;&gt;")</f>
        <v>2</v>
      </c>
      <c r="E58" s="73">
        <f>+AVERAGEIF('📁 Panel DAES'!$D$3:$D$135,C58,'📁 Panel DAES'!$N$3:$N$135)</f>
        <v>423.67558049999997</v>
      </c>
      <c r="F58" s="73" cm="1">
        <f t="array" ref="F58">+MEDIAN(IF('📁 Panel DAES'!$D$3:$D$135=C58,'📁 Panel DAES'!$N$3:$N$135))</f>
        <v>423.67558050000002</v>
      </c>
      <c r="G58" s="73" cm="1">
        <f t="array" ref="G58">+_xlfn.STDEV.S(IF('📁 Panel DAES'!$D$3:$D$135='Estadística Descriptiva'!C58,'📁 Panel DAES'!$N$3:$N$135))</f>
        <v>562.22860122043949</v>
      </c>
      <c r="H58" s="73" cm="1">
        <f t="array" ref="H58">+MIN(IF('📁 Panel DAES'!$D$3:$D$135='Estadística Descriptiva'!C58,'📁 Panel DAES'!$N$3:$N$135))</f>
        <v>26.119924000000001</v>
      </c>
      <c r="I58" s="73" cm="1">
        <f t="array" ref="I58">+MAX(IF('📁 Panel DAES'!$D$3:$D$135='Estadística Descriptiva'!C58,'📁 Panel DAES'!$N$3:$N$135))</f>
        <v>821.23123699999996</v>
      </c>
    </row>
    <row r="59" spans="1:9" hidden="1" x14ac:dyDescent="0.3">
      <c r="A59" s="30" t="s">
        <v>61</v>
      </c>
      <c r="B59" s="72" t="s">
        <v>2028</v>
      </c>
      <c r="C59" s="72">
        <v>2015</v>
      </c>
      <c r="D59" s="72">
        <f>COUNTIFS('📁 Panel DAES'!$D$3:$D$135,'Cobertura de Datos'!A5, '📁 Panel DAES'!$N$3:$N$135,"&lt;&gt;")</f>
        <v>7</v>
      </c>
      <c r="E59" s="73">
        <f>+AVERAGEIF('📁 Panel DAES'!$D$3:$D$135,C59,'📁 Panel DAES'!$N$3:$N$135)</f>
        <v>3426.8842637142848</v>
      </c>
      <c r="F59" s="73" cm="1">
        <f t="array" ref="F59">+MEDIAN(IF('📁 Panel DAES'!$D$3:$D$135=C59,'📁 Panel DAES'!$N$3:$N$135))</f>
        <v>253.17384899999999</v>
      </c>
      <c r="G59" s="73" cm="1">
        <f t="array" ref="G59">+_xlfn.STDEV.S(IF('📁 Panel DAES'!$D$3:$D$135='Estadística Descriptiva'!C59,'📁 Panel DAES'!$N$3:$N$135))</f>
        <v>7380.3319605819561</v>
      </c>
      <c r="H59" s="73" cm="1">
        <f t="array" ref="H59">+MIN(IF('📁 Panel DAES'!$D$3:$D$135='Estadística Descriptiva'!C59,'📁 Panel DAES'!$N$3:$N$135))</f>
        <v>0</v>
      </c>
      <c r="I59" s="73" cm="1">
        <f t="array" ref="I59">+MAX(IF('📁 Panel DAES'!$D$3:$D$135='Estadística Descriptiva'!C59,'📁 Panel DAES'!$N$3:$N$135))</f>
        <v>21229.853982000001</v>
      </c>
    </row>
    <row r="60" spans="1:9" hidden="1" x14ac:dyDescent="0.3">
      <c r="A60" s="30" t="s">
        <v>61</v>
      </c>
      <c r="B60" s="72" t="s">
        <v>2028</v>
      </c>
      <c r="C60" s="72">
        <v>2016</v>
      </c>
      <c r="D60" s="72">
        <f>COUNTIFS('📁 Panel DAES'!$D$3:$D$135,'Cobertura de Datos'!A6, '📁 Panel DAES'!$N$3:$N$135,"&lt;&gt;")</f>
        <v>7</v>
      </c>
      <c r="E60" s="73">
        <f>+AVERAGEIF('📁 Panel DAES'!$D$3:$D$135,C60,'📁 Panel DAES'!$N$3:$N$135)</f>
        <v>1039.5261601428572</v>
      </c>
      <c r="F60" s="73" cm="1">
        <f t="array" ref="F60">+MEDIAN(IF('📁 Panel DAES'!$D$3:$D$135=C60,'📁 Panel DAES'!$N$3:$N$135))</f>
        <v>2.7196604999999998</v>
      </c>
      <c r="G60" s="73" cm="1">
        <f t="array" ref="G60">+_xlfn.STDEV.S(IF('📁 Panel DAES'!$D$3:$D$135='Estadística Descriptiva'!C60,'📁 Panel DAES'!$N$3:$N$135))</f>
        <v>1709.0904214466696</v>
      </c>
      <c r="H60" s="73" cm="1">
        <f t="array" ref="H60">+MIN(IF('📁 Panel DAES'!$D$3:$D$135='Estadística Descriptiva'!C60,'📁 Panel DAES'!$N$3:$N$135))</f>
        <v>0</v>
      </c>
      <c r="I60" s="73" cm="1">
        <f t="array" ref="I60">+MAX(IF('📁 Panel DAES'!$D$3:$D$135='Estadística Descriptiva'!C60,'📁 Panel DAES'!$N$3:$N$135))</f>
        <v>5505.8146809999998</v>
      </c>
    </row>
    <row r="61" spans="1:9" hidden="1" x14ac:dyDescent="0.3">
      <c r="A61" s="30" t="s">
        <v>61</v>
      </c>
      <c r="B61" s="72" t="s">
        <v>2028</v>
      </c>
      <c r="C61" s="72">
        <v>2017</v>
      </c>
      <c r="D61" s="72">
        <f>COUNTIFS('📁 Panel DAES'!$D$3:$D$135,'Cobertura de Datos'!A7, '📁 Panel DAES'!$N$3:$N$135,"&lt;&gt;")</f>
        <v>8</v>
      </c>
      <c r="E61" s="73">
        <f>+AVERAGEIF('📁 Panel DAES'!$D$3:$D$135,C61,'📁 Panel DAES'!$N$3:$N$135)</f>
        <v>1909.7972082499998</v>
      </c>
      <c r="F61" s="73" cm="1">
        <f t="array" ref="F61">+MEDIAN(IF('📁 Panel DAES'!$D$3:$D$135=C61,'📁 Panel DAES'!$N$3:$N$135))</f>
        <v>99.446804499999999</v>
      </c>
      <c r="G61" s="73" cm="1">
        <f t="array" ref="G61">+_xlfn.STDEV.S(IF('📁 Panel DAES'!$D$3:$D$135='Estadística Descriptiva'!C61,'📁 Panel DAES'!$N$3:$N$135))</f>
        <v>2288.4144353160591</v>
      </c>
      <c r="H61" s="73" cm="1">
        <f t="array" ref="H61">+MIN(IF('📁 Panel DAES'!$D$3:$D$135='Estadística Descriptiva'!C61,'📁 Panel DAES'!$N$3:$N$135))</f>
        <v>0</v>
      </c>
      <c r="I61" s="73" cm="1">
        <f t="array" ref="I61">+MAX(IF('📁 Panel DAES'!$D$3:$D$135='Estadística Descriptiva'!C61,'📁 Panel DAES'!$N$3:$N$135))</f>
        <v>8472.8267899999992</v>
      </c>
    </row>
    <row r="62" spans="1:9" hidden="1" x14ac:dyDescent="0.3">
      <c r="A62" s="30" t="s">
        <v>61</v>
      </c>
      <c r="B62" s="72" t="s">
        <v>2028</v>
      </c>
      <c r="C62" s="72">
        <v>2018</v>
      </c>
      <c r="D62" s="72">
        <f>COUNTIFS('📁 Panel DAES'!$D$3:$D$135,'Cobertura de Datos'!A8, '📁 Panel DAES'!$N$3:$N$135,"&lt;&gt;")</f>
        <v>12</v>
      </c>
      <c r="E62" s="73">
        <f>+AVERAGEIF('📁 Panel DAES'!$D$3:$D$135,C62,'📁 Panel DAES'!$N$3:$N$135)</f>
        <v>2477.7449818333339</v>
      </c>
      <c r="F62" s="73" cm="1">
        <f t="array" ref="F62">+MEDIAN(IF('📁 Panel DAES'!$D$3:$D$135=C62,'📁 Panel DAES'!$N$3:$N$135))</f>
        <v>519.13248150000004</v>
      </c>
      <c r="G62" s="73" cm="1">
        <f t="array" ref="G62">+_xlfn.STDEV.S(IF('📁 Panel DAES'!$D$3:$D$135='Estadística Descriptiva'!C62,'📁 Panel DAES'!$N$3:$N$135))</f>
        <v>3342.6379906683133</v>
      </c>
      <c r="H62" s="73" cm="1">
        <f t="array" ref="H62">+MIN(IF('📁 Panel DAES'!$D$3:$D$135='Estadística Descriptiva'!C62,'📁 Panel DAES'!$N$3:$N$135))</f>
        <v>0</v>
      </c>
      <c r="I62" s="73" cm="1">
        <f t="array" ref="I62">+MAX(IF('📁 Panel DAES'!$D$3:$D$135='Estadística Descriptiva'!C62,'📁 Panel DAES'!$N$3:$N$135))</f>
        <v>11600.089044</v>
      </c>
    </row>
    <row r="63" spans="1:9" hidden="1" x14ac:dyDescent="0.3">
      <c r="A63" s="30" t="s">
        <v>61</v>
      </c>
      <c r="B63" s="72" t="s">
        <v>2028</v>
      </c>
      <c r="C63" s="72">
        <v>2019</v>
      </c>
      <c r="D63" s="72">
        <f>COUNTIFS('📁 Panel DAES'!$D$3:$D$135,'Cobertura de Datos'!A9, '📁 Panel DAES'!$N$3:$N$135,"&lt;&gt;")</f>
        <v>6</v>
      </c>
      <c r="E63" s="73">
        <f>+AVERAGEIF('📁 Panel DAES'!$D$3:$D$135,C63,'📁 Panel DAES'!$N$3:$N$135)</f>
        <v>3936.3419329999997</v>
      </c>
      <c r="F63" s="73" cm="1">
        <f t="array" ref="F63">+MEDIAN(IF('📁 Panel DAES'!$D$3:$D$135=C63,'📁 Panel DAES'!$N$3:$N$135))</f>
        <v>4177.3743610000001</v>
      </c>
      <c r="G63" s="73" cm="1">
        <f t="array" ref="G63">+_xlfn.STDEV.S(IF('📁 Panel DAES'!$D$3:$D$135='Estadística Descriptiva'!C63,'📁 Panel DAES'!$N$3:$N$135))</f>
        <v>3346.0874352523133</v>
      </c>
      <c r="H63" s="73" cm="1">
        <f t="array" ref="H63">+MIN(IF('📁 Panel DAES'!$D$3:$D$135='Estadística Descriptiva'!C63,'📁 Panel DAES'!$N$3:$N$135))</f>
        <v>2.8054380000000001</v>
      </c>
      <c r="I63" s="73" cm="1">
        <f t="array" ref="I63">+MAX(IF('📁 Panel DAES'!$D$3:$D$135='Estadística Descriptiva'!C63,'📁 Panel DAES'!$N$3:$N$135))</f>
        <v>9199.1196909999999</v>
      </c>
    </row>
    <row r="64" spans="1:9" hidden="1" x14ac:dyDescent="0.3">
      <c r="A64" s="30" t="s">
        <v>61</v>
      </c>
      <c r="B64" s="72" t="s">
        <v>2028</v>
      </c>
      <c r="C64" s="72">
        <v>2020</v>
      </c>
      <c r="D64" s="72">
        <f>COUNTIFS('📁 Panel DAES'!$D$3:$D$135,'Cobertura de Datos'!A10, '📁 Panel DAES'!$N$3:$N$135,"&lt;&gt;")</f>
        <v>9</v>
      </c>
      <c r="E64" s="73">
        <f>+AVERAGEIF('📁 Panel DAES'!$D$3:$D$135,C64,'📁 Panel DAES'!$N$3:$N$135)</f>
        <v>3051.3436117777778</v>
      </c>
      <c r="F64" s="73" cm="1">
        <f t="array" ref="F64">+MEDIAN(IF('📁 Panel DAES'!$D$3:$D$135=C64,'📁 Panel DAES'!$N$3:$N$135))</f>
        <v>1801.2299065000002</v>
      </c>
      <c r="G64" s="73" cm="1">
        <f t="array" ref="G64">+_xlfn.STDEV.S(IF('📁 Panel DAES'!$D$3:$D$135='Estadística Descriptiva'!C64,'📁 Panel DAES'!$N$3:$N$135))</f>
        <v>3156.6621273467717</v>
      </c>
      <c r="H64" s="73" cm="1">
        <f t="array" ref="H64">+MIN(IF('📁 Panel DAES'!$D$3:$D$135='Estadística Descriptiva'!C64,'📁 Panel DAES'!$N$3:$N$135))</f>
        <v>0</v>
      </c>
      <c r="I64" s="73" cm="1">
        <f t="array" ref="I64">+MAX(IF('📁 Panel DAES'!$D$3:$D$135='Estadística Descriptiva'!C64,'📁 Panel DAES'!$N$3:$N$135))</f>
        <v>10029.748061</v>
      </c>
    </row>
    <row r="65" spans="1:9" hidden="1" x14ac:dyDescent="0.3">
      <c r="A65" s="30" t="s">
        <v>61</v>
      </c>
      <c r="B65" s="72" t="s">
        <v>2028</v>
      </c>
      <c r="C65" s="72">
        <v>2021</v>
      </c>
      <c r="D65" s="72">
        <f>COUNTIFS('📁 Panel DAES'!$D$3:$D$135,'Cobertura de Datos'!A11, '📁 Panel DAES'!$N$3:$N$135,"&lt;&gt;")</f>
        <v>8</v>
      </c>
      <c r="E65" s="73">
        <f>+AVERAGEIF('📁 Panel DAES'!$D$3:$D$135,C65,'📁 Panel DAES'!$N$3:$N$135)</f>
        <v>3462.7364459999999</v>
      </c>
      <c r="F65" s="73" cm="1">
        <f t="array" ref="F65">+MEDIAN(IF('📁 Panel DAES'!$D$3:$D$135=C65,'📁 Panel DAES'!$N$3:$N$135))</f>
        <v>1187.012956</v>
      </c>
      <c r="G65" s="73" cm="1">
        <f t="array" ref="G65">+_xlfn.STDEV.S(IF('📁 Panel DAES'!$D$3:$D$135='Estadística Descriptiva'!C65,'📁 Panel DAES'!$N$3:$N$135))</f>
        <v>3633.7736964198862</v>
      </c>
      <c r="H65" s="73" cm="1">
        <f t="array" ref="H65">+MIN(IF('📁 Panel DAES'!$D$3:$D$135='Estadística Descriptiva'!C65,'📁 Panel DAES'!$N$3:$N$135))</f>
        <v>0</v>
      </c>
      <c r="I65" s="73" cm="1">
        <f t="array" ref="I65">+MAX(IF('📁 Panel DAES'!$D$3:$D$135='Estadística Descriptiva'!C65,'📁 Panel DAES'!$N$3:$N$135))</f>
        <v>12188.387771</v>
      </c>
    </row>
    <row r="66" spans="1:9" hidden="1" x14ac:dyDescent="0.3">
      <c r="A66" s="30" t="s">
        <v>61</v>
      </c>
      <c r="B66" s="72" t="s">
        <v>2028</v>
      </c>
      <c r="C66" s="72">
        <v>2022</v>
      </c>
      <c r="D66" s="72">
        <f>COUNTIFS('📁 Panel DAES'!$D$3:$D$135,'Cobertura de Datos'!A12, '📁 Panel DAES'!$N$3:$N$135,"&lt;&gt;")</f>
        <v>16</v>
      </c>
      <c r="E66" s="73">
        <f>+AVERAGEIF('📁 Panel DAES'!$D$3:$D$135,C66,'📁 Panel DAES'!$N$3:$N$135)</f>
        <v>3535.2036825625</v>
      </c>
      <c r="F66" s="73" cm="1">
        <f t="array" ref="F66">+MEDIAN(IF('📁 Panel DAES'!$D$3:$D$135=C66,'📁 Panel DAES'!$N$3:$N$135))</f>
        <v>1889.1406784999999</v>
      </c>
      <c r="G66" s="73" cm="1">
        <f t="array" ref="G66">+_xlfn.STDEV.S(IF('📁 Panel DAES'!$D$3:$D$135='Estadística Descriptiva'!C66,'📁 Panel DAES'!$N$3:$N$135))</f>
        <v>3549.3161292600544</v>
      </c>
      <c r="H66" s="73" cm="1">
        <f t="array" ref="H66">+MIN(IF('📁 Panel DAES'!$D$3:$D$135='Estadística Descriptiva'!C66,'📁 Panel DAES'!$N$3:$N$135))</f>
        <v>0</v>
      </c>
      <c r="I66" s="73" cm="1">
        <f t="array" ref="I66">+MAX(IF('📁 Panel DAES'!$D$3:$D$135='Estadística Descriptiva'!C66,'📁 Panel DAES'!$N$3:$N$135))</f>
        <v>12052.562051999999</v>
      </c>
    </row>
    <row r="67" spans="1:9" hidden="1" x14ac:dyDescent="0.3">
      <c r="A67" s="30" t="s">
        <v>61</v>
      </c>
      <c r="B67" s="72" t="s">
        <v>2028</v>
      </c>
      <c r="C67" s="72">
        <v>2023</v>
      </c>
      <c r="D67" s="72">
        <f>COUNTIFS('📁 Panel DAES'!$D$3:$D$135,'Cobertura de Datos'!A13, '📁 Panel DAES'!$N$3:$N$135,"&lt;&gt;")</f>
        <v>20</v>
      </c>
      <c r="E67" s="73">
        <f>+AVERAGEIF('📁 Panel DAES'!$D$3:$D$135,C67,'📁 Panel DAES'!$N$3:$N$135)</f>
        <v>5740.4138469500012</v>
      </c>
      <c r="F67" s="73" cm="1">
        <f t="array" ref="F67">+MEDIAN(IF('📁 Panel DAES'!$D$3:$D$135=C67,'📁 Panel DAES'!$N$3:$N$135))</f>
        <v>1822.060426</v>
      </c>
      <c r="G67" s="73" cm="1">
        <f t="array" ref="G67">+_xlfn.STDEV.S(IF('📁 Panel DAES'!$D$3:$D$135='Estadística Descriptiva'!C67,'📁 Panel DAES'!$N$3:$N$135))</f>
        <v>8125.3872686533905</v>
      </c>
      <c r="H67" s="73" cm="1">
        <f t="array" ref="H67">+MIN(IF('📁 Panel DAES'!$D$3:$D$135='Estadística Descriptiva'!C67,'📁 Panel DAES'!$N$3:$N$135))</f>
        <v>0</v>
      </c>
      <c r="I67" s="73" cm="1">
        <f t="array" ref="I67">+MAX(IF('📁 Panel DAES'!$D$3:$D$135='Estadística Descriptiva'!C67,'📁 Panel DAES'!$N$3:$N$135))</f>
        <v>36951.949999999997</v>
      </c>
    </row>
    <row r="68" spans="1:9" hidden="1" x14ac:dyDescent="0.3">
      <c r="A68" s="30" t="s">
        <v>61</v>
      </c>
      <c r="B68" s="72" t="s">
        <v>2028</v>
      </c>
      <c r="C68" s="72">
        <v>2024</v>
      </c>
      <c r="D68" s="72">
        <f>COUNTIFS('📁 Panel DAES'!$D$3:$D$135,'Cobertura de Datos'!A14, '📁 Panel DAES'!$N$3:$N$135,"&lt;&gt;")</f>
        <v>12</v>
      </c>
      <c r="E68" s="73">
        <f>+AVERAGEIF('📁 Panel DAES'!$D$3:$D$135,C68,'📁 Panel DAES'!$N$3:$N$135)</f>
        <v>6775.4189734166657</v>
      </c>
      <c r="F68" s="73" cm="1">
        <f t="array" ref="F68">+MEDIAN(IF('📁 Panel DAES'!$D$3:$D$135=C68,'📁 Panel DAES'!$N$3:$N$135))</f>
        <v>3033.1569504999998</v>
      </c>
      <c r="G68" s="73" cm="1">
        <f t="array" ref="G68">+_xlfn.STDEV.S(IF('📁 Panel DAES'!$D$3:$D$135='Estadística Descriptiva'!C68,'📁 Panel DAES'!$N$3:$N$135))</f>
        <v>10356.305570355813</v>
      </c>
      <c r="H68" s="73" cm="1">
        <f t="array" ref="H68">+MIN(IF('📁 Panel DAES'!$D$3:$D$135='Estadística Descriptiva'!C68,'📁 Panel DAES'!$N$3:$N$135))</f>
        <v>32.154974000000003</v>
      </c>
      <c r="I68" s="73" cm="1">
        <f t="array" ref="I68">+MAX(IF('📁 Panel DAES'!$D$3:$D$135='Estadística Descriptiva'!C68,'📁 Panel DAES'!$N$3:$N$135))</f>
        <v>37253.148999999998</v>
      </c>
    </row>
    <row r="69" spans="1:9" hidden="1" x14ac:dyDescent="0.3">
      <c r="A69" s="30" t="s">
        <v>129</v>
      </c>
      <c r="B69" s="72" t="s">
        <v>2025</v>
      </c>
      <c r="C69" s="72">
        <v>2013</v>
      </c>
      <c r="D69" s="72">
        <f>COUNTIFS('📁 Panel CMF'!$D$3:$D$93,'Cobertura de Datos'!A19,'📁 Panel CMF'!$E$3:$E$93,"&lt;&gt;")</f>
        <v>7</v>
      </c>
      <c r="E69" s="73">
        <f>+AVERAGEIF('📁 Panel CMF'!$D$3:$D$93,'Estadística Descriptiva'!C69,'📁 Panel CMF'!$E$3:$E$93)</f>
        <v>37210.71428571429</v>
      </c>
      <c r="F69" s="73" cm="1">
        <f t="array" ref="F69">+MEDIAN(IF('📁 Panel CMF'!$D$3:$D$93=C69,'📁 Panel CMF'!$E$3:$E$93))</f>
        <v>6948.1</v>
      </c>
      <c r="G69" s="73" cm="1">
        <f t="array" ref="G69">+_xlfn.STDEV.S(IF('📁 Panel CMF'!$D$3:$D$93='Estadística Descriptiva'!C69,'📁 Panel CMF'!$E$3:$E$93))</f>
        <v>73679.361659771646</v>
      </c>
      <c r="H69" s="73" cm="1">
        <f t="array" ref="H69">+MIN(IF('📁 Panel CMF'!$D$3:$D$93='Estadística Descriptiva'!C69,'📁 Panel CMF'!$E$3:$E$93))</f>
        <v>3166.3</v>
      </c>
      <c r="I69" s="73" cm="1">
        <f t="array" ref="I69">+MAX(IF('📁 Panel CMF'!$D$3:$D$93='Estadística Descriptiva'!C69,'📁 Panel CMF'!$E$3:$E$93))</f>
        <v>203410.1</v>
      </c>
    </row>
    <row r="70" spans="1:9" hidden="1" x14ac:dyDescent="0.3">
      <c r="A70" s="30" t="s">
        <v>129</v>
      </c>
      <c r="B70" s="72" t="s">
        <v>2025</v>
      </c>
      <c r="C70" s="72">
        <v>2014</v>
      </c>
      <c r="D70" s="72">
        <f>COUNTIFS('📁 Panel CMF'!$D$3:$D$93,'Cobertura de Datos'!A20,'📁 Panel CMF'!$E$3:$E$93,"&lt;&gt;")</f>
        <v>7</v>
      </c>
      <c r="E70" s="73">
        <f>+AVERAGEIF('📁 Panel CMF'!$D$3:$D$93,'Estadística Descriptiva'!C70,'📁 Panel CMF'!$E$3:$E$93)</f>
        <v>35486.442857142858</v>
      </c>
      <c r="F70" s="73" cm="1">
        <f t="array" ref="F70">+MEDIAN(IF('📁 Panel CMF'!$D$3:$D$93=C70,'📁 Panel CMF'!$E$3:$E$93))</f>
        <v>5701.9</v>
      </c>
      <c r="G70" s="73" cm="1">
        <f t="array" ref="G70">+_xlfn.STDEV.S(IF('📁 Panel CMF'!$D$3:$D$93='Estadística Descriptiva'!C70,'📁 Panel CMF'!$E$3:$E$93))</f>
        <v>72615.740437498753</v>
      </c>
      <c r="H70" s="73" cm="1">
        <f t="array" ref="H70">+MIN(IF('📁 Panel CMF'!$D$3:$D$93='Estadística Descriptiva'!C70,'📁 Panel CMF'!$E$3:$E$93))</f>
        <v>3119.1</v>
      </c>
      <c r="I70" s="73" cm="1">
        <f t="array" ref="I70">+MAX(IF('📁 Panel CMF'!$D$3:$D$93='Estadística Descriptiva'!C70,'📁 Panel CMF'!$E$3:$E$93))</f>
        <v>199513.2</v>
      </c>
    </row>
    <row r="71" spans="1:9" hidden="1" x14ac:dyDescent="0.3">
      <c r="A71" s="30" t="s">
        <v>129</v>
      </c>
      <c r="B71" s="72" t="s">
        <v>2025</v>
      </c>
      <c r="C71" s="72">
        <v>2015</v>
      </c>
      <c r="D71" s="72">
        <f>COUNTIFS('📁 Panel CMF'!$D$3:$D$93,'Cobertura de Datos'!A21,'📁 Panel CMF'!$E$3:$E$93,"&lt;&gt;")</f>
        <v>7</v>
      </c>
      <c r="E71" s="73">
        <f>+AVERAGEIF('📁 Panel CMF'!$D$3:$D$93,'Estadística Descriptiva'!C71,'📁 Panel CMF'!$E$3:$E$93)</f>
        <v>36260.285714285717</v>
      </c>
      <c r="F71" s="73" cm="1">
        <f t="array" ref="F71">+MEDIAN(IF('📁 Panel CMF'!$D$3:$D$93=C71,'📁 Panel CMF'!$E$3:$E$93))</f>
        <v>5838.4</v>
      </c>
      <c r="G71" s="73" cm="1">
        <f t="array" ref="G71">+_xlfn.STDEV.S(IF('📁 Panel CMF'!$D$3:$D$93='Estadística Descriptiva'!C71,'📁 Panel CMF'!$E$3:$E$93))</f>
        <v>75078.981888751179</v>
      </c>
      <c r="H71" s="73" cm="1">
        <f t="array" ref="H71">+MIN(IF('📁 Panel CMF'!$D$3:$D$93='Estadística Descriptiva'!C71,'📁 Panel CMF'!$E$3:$E$93))</f>
        <v>3273.9</v>
      </c>
      <c r="I71" s="73" cm="1">
        <f t="array" ref="I71">+MAX(IF('📁 Panel CMF'!$D$3:$D$93='Estadística Descriptiva'!C71,'📁 Panel CMF'!$E$3:$E$93))</f>
        <v>205966.5</v>
      </c>
    </row>
    <row r="72" spans="1:9" hidden="1" x14ac:dyDescent="0.3">
      <c r="A72" s="30" t="s">
        <v>129</v>
      </c>
      <c r="B72" s="72" t="s">
        <v>2025</v>
      </c>
      <c r="C72" s="72">
        <v>2016</v>
      </c>
      <c r="D72" s="72">
        <f>COUNTIFS('📁 Panel CMF'!$D$3:$D$93,'Cobertura de Datos'!A22,'📁 Panel CMF'!$E$3:$E$93,"&lt;&gt;")</f>
        <v>7</v>
      </c>
      <c r="E72" s="73">
        <f>+AVERAGEIF('📁 Panel CMF'!$D$3:$D$93,'Estadística Descriptiva'!C72,'📁 Panel CMF'!$E$3:$E$93)</f>
        <v>38318.700000000004</v>
      </c>
      <c r="F72" s="73" cm="1">
        <f t="array" ref="F72">+MEDIAN(IF('📁 Panel CMF'!$D$3:$D$93=C72,'📁 Panel CMF'!$E$3:$E$93))</f>
        <v>7215</v>
      </c>
      <c r="G72" s="73" cm="1">
        <f t="array" ref="G72">+_xlfn.STDEV.S(IF('📁 Panel CMF'!$D$3:$D$93='Estadística Descriptiva'!C72,'📁 Panel CMF'!$E$3:$E$93))</f>
        <v>78491.818851266275</v>
      </c>
      <c r="H72" s="73" cm="1">
        <f t="array" ref="H72">+MIN(IF('📁 Panel CMF'!$D$3:$D$93='Estadística Descriptiva'!C72,'📁 Panel CMF'!$E$3:$E$93))</f>
        <v>3389.2</v>
      </c>
      <c r="I72" s="73" cm="1">
        <f t="array" ref="I72">+MAX(IF('📁 Panel CMF'!$D$3:$D$93='Estadística Descriptiva'!C72,'📁 Panel CMF'!$E$3:$E$93))</f>
        <v>215779.1</v>
      </c>
    </row>
    <row r="73" spans="1:9" hidden="1" x14ac:dyDescent="0.3">
      <c r="A73" s="30" t="s">
        <v>129</v>
      </c>
      <c r="B73" s="72" t="s">
        <v>2025</v>
      </c>
      <c r="C73" s="72">
        <v>2017</v>
      </c>
      <c r="D73" s="72">
        <f>COUNTIFS('📁 Panel CMF'!$D$3:$D$93,'Cobertura de Datos'!A23,'📁 Panel CMF'!$E$3:$E$93,"&lt;&gt;")</f>
        <v>7</v>
      </c>
      <c r="E73" s="73">
        <f>+AVERAGEIF('📁 Panel CMF'!$D$3:$D$93,'Estadística Descriptiva'!C73,'📁 Panel CMF'!$E$3:$E$93)</f>
        <v>34682.714285714283</v>
      </c>
      <c r="F73" s="73" cm="1">
        <f t="array" ref="F73">+MEDIAN(IF('📁 Panel CMF'!$D$3:$D$93=C73,'📁 Panel CMF'!$E$3:$E$93))</f>
        <v>5915</v>
      </c>
      <c r="G73" s="73" cm="1">
        <f t="array" ref="G73">+_xlfn.STDEV.S(IF('📁 Panel CMF'!$D$3:$D$93='Estadística Descriptiva'!C73,'📁 Panel CMF'!$E$3:$E$93))</f>
        <v>71317.129965888482</v>
      </c>
      <c r="H73" s="73" cm="1">
        <f t="array" ref="H73">+MIN(IF('📁 Panel CMF'!$D$3:$D$93='Estadística Descriptiva'!C73,'📁 Panel CMF'!$E$3:$E$93))</f>
        <v>3458</v>
      </c>
      <c r="I73" s="73" cm="1">
        <f t="array" ref="I73">+MAX(IF('📁 Panel CMF'!$D$3:$D$93='Estadística Descriptiva'!C73,'📁 Panel CMF'!$E$3:$E$93))</f>
        <v>195996</v>
      </c>
    </row>
    <row r="74" spans="1:9" hidden="1" x14ac:dyDescent="0.3">
      <c r="A74" s="30" t="s">
        <v>129</v>
      </c>
      <c r="B74" s="72" t="s">
        <v>2025</v>
      </c>
      <c r="C74" s="72">
        <v>2018</v>
      </c>
      <c r="D74" s="72">
        <f>COUNTIFS('📁 Panel CMF'!$D$3:$D$93,'Cobertura de Datos'!A24,'📁 Panel CMF'!$E$3:$E$93,"&lt;&gt;")</f>
        <v>7</v>
      </c>
      <c r="E74" s="73">
        <f>+AVERAGEIF('📁 Panel CMF'!$D$3:$D$93,'Estadística Descriptiva'!C74,'📁 Panel CMF'!$E$3:$E$93)</f>
        <v>36811.142857142855</v>
      </c>
      <c r="F74" s="73" cm="1">
        <f t="array" ref="F74">+MEDIAN(IF('📁 Panel CMF'!$D$3:$D$93=C74,'📁 Panel CMF'!$E$3:$E$93))</f>
        <v>7611</v>
      </c>
      <c r="G74" s="73" cm="1">
        <f t="array" ref="G74">+_xlfn.STDEV.S(IF('📁 Panel CMF'!$D$3:$D$93='Estadística Descriptiva'!C74,'📁 Panel CMF'!$E$3:$E$93))</f>
        <v>75436.337071795337</v>
      </c>
      <c r="H74" s="73" cm="1">
        <f t="array" ref="H74">+MIN(IF('📁 Panel CMF'!$D$3:$D$93='Estadística Descriptiva'!C74,'📁 Panel CMF'!$E$3:$E$93))</f>
        <v>3218</v>
      </c>
      <c r="I74" s="73" cm="1">
        <f t="array" ref="I74">+MAX(IF('📁 Panel CMF'!$D$3:$D$93='Estadística Descriptiva'!C74,'📁 Panel CMF'!$E$3:$E$93))</f>
        <v>207410</v>
      </c>
    </row>
    <row r="75" spans="1:9" hidden="1" x14ac:dyDescent="0.3">
      <c r="A75" s="30" t="s">
        <v>129</v>
      </c>
      <c r="B75" s="72" t="s">
        <v>2025</v>
      </c>
      <c r="C75" s="72">
        <v>2019</v>
      </c>
      <c r="D75" s="72">
        <f>COUNTIFS('📁 Panel CMF'!$D$3:$D$93,'Cobertura de Datos'!A25,'📁 Panel CMF'!$E$3:$E$93,"&lt;&gt;")</f>
        <v>7</v>
      </c>
      <c r="E75" s="73">
        <f>+AVERAGEIF('📁 Panel CMF'!$D$3:$D$93,'Estadística Descriptiva'!C75,'📁 Panel CMF'!$E$3:$E$93)</f>
        <v>39674</v>
      </c>
      <c r="F75" s="73" cm="1">
        <f t="array" ref="F75">+MEDIAN(IF('📁 Panel CMF'!$D$3:$D$93=C75,'📁 Panel CMF'!$E$3:$E$93))</f>
        <v>8768</v>
      </c>
      <c r="G75" s="73" cm="1">
        <f t="array" ref="G75">+_xlfn.STDEV.S(IF('📁 Panel CMF'!$D$3:$D$93='Estadística Descriptiva'!C75,'📁 Panel CMF'!$E$3:$E$93))</f>
        <v>80082.778727181212</v>
      </c>
      <c r="H75" s="73" cm="1">
        <f t="array" ref="H75">+MIN(IF('📁 Panel CMF'!$D$3:$D$93='Estadística Descriptiva'!C75,'📁 Panel CMF'!$E$3:$E$93))</f>
        <v>2805</v>
      </c>
      <c r="I75" s="73" cm="1">
        <f t="array" ref="I75">+MAX(IF('📁 Panel CMF'!$D$3:$D$93='Estadística Descriptiva'!C75,'📁 Panel CMF'!$E$3:$E$93))</f>
        <v>220878</v>
      </c>
    </row>
    <row r="76" spans="1:9" hidden="1" x14ac:dyDescent="0.3">
      <c r="A76" s="30" t="s">
        <v>129</v>
      </c>
      <c r="B76" s="72" t="s">
        <v>2025</v>
      </c>
      <c r="C76" s="72">
        <v>2020</v>
      </c>
      <c r="D76" s="72">
        <f>COUNTIFS('📁 Panel CMF'!$D$3:$D$93,'Cobertura de Datos'!A26,'📁 Panel CMF'!$E$3:$E$93,"&lt;&gt;")</f>
        <v>7</v>
      </c>
      <c r="E76" s="73">
        <f>+AVERAGEIF('📁 Panel CMF'!$D$3:$D$93,'Estadística Descriptiva'!C76,'📁 Panel CMF'!$E$3:$E$93)</f>
        <v>38555.142857142855</v>
      </c>
      <c r="F76" s="73" cm="1">
        <f t="array" ref="F76">+MEDIAN(IF('📁 Panel CMF'!$D$3:$D$93=C76,'📁 Panel CMF'!$E$3:$E$93))</f>
        <v>11592</v>
      </c>
      <c r="G76" s="73" cm="1">
        <f t="array" ref="G76">+_xlfn.STDEV.S(IF('📁 Panel CMF'!$D$3:$D$93='Estadística Descriptiva'!C76,'📁 Panel CMF'!$E$3:$E$93))</f>
        <v>77887.213435900529</v>
      </c>
      <c r="H76" s="73" cm="1">
        <f t="array" ref="H76">+MIN(IF('📁 Panel CMF'!$D$3:$D$93='Estadística Descriptiva'!C76,'📁 Panel CMF'!$E$3:$E$93))</f>
        <v>1915</v>
      </c>
      <c r="I76" s="73" cm="1">
        <f t="array" ref="I76">+MAX(IF('📁 Panel CMF'!$D$3:$D$93='Estadística Descriptiva'!C76,'📁 Panel CMF'!$E$3:$E$93))</f>
        <v>214852</v>
      </c>
    </row>
    <row r="77" spans="1:9" hidden="1" x14ac:dyDescent="0.3">
      <c r="A77" s="30" t="s">
        <v>129</v>
      </c>
      <c r="B77" s="72" t="s">
        <v>2025</v>
      </c>
      <c r="C77" s="72">
        <v>2021</v>
      </c>
      <c r="D77" s="72">
        <f>COUNTIFS('📁 Panel CMF'!$D$3:$D$93,'Cobertura de Datos'!A27,'📁 Panel CMF'!$E$3:$E$93,"&lt;&gt;")</f>
        <v>7</v>
      </c>
      <c r="E77" s="73">
        <f>+AVERAGEIF('📁 Panel CMF'!$D$3:$D$93,'Estadística Descriptiva'!C77,'📁 Panel CMF'!$E$3:$E$93)</f>
        <v>39373.142857142855</v>
      </c>
      <c r="F77" s="73" cm="1">
        <f t="array" ref="F77">+MEDIAN(IF('📁 Panel CMF'!$D$3:$D$93=C77,'📁 Panel CMF'!$E$3:$E$93))</f>
        <v>9254</v>
      </c>
      <c r="G77" s="73" cm="1">
        <f t="array" ref="G77">+_xlfn.STDEV.S(IF('📁 Panel CMF'!$D$3:$D$93='Estadística Descriptiva'!C77,'📁 Panel CMF'!$E$3:$E$93))</f>
        <v>83205.472022434871</v>
      </c>
      <c r="H77" s="73" cm="1">
        <f t="array" ref="H77">+MIN(IF('📁 Panel CMF'!$D$3:$D$93='Estadística Descriptiva'!C77,'📁 Panel CMF'!$E$3:$E$93))</f>
        <v>2188</v>
      </c>
      <c r="I77" s="73" cm="1">
        <f t="array" ref="I77">+MAX(IF('📁 Panel CMF'!$D$3:$D$93='Estadística Descriptiva'!C77,'📁 Panel CMF'!$E$3:$E$93))</f>
        <v>227719</v>
      </c>
    </row>
    <row r="78" spans="1:9" hidden="1" x14ac:dyDescent="0.3">
      <c r="A78" s="30" t="s">
        <v>129</v>
      </c>
      <c r="B78" s="72" t="s">
        <v>2025</v>
      </c>
      <c r="C78" s="72">
        <v>2022</v>
      </c>
      <c r="D78" s="72">
        <f>COUNTIFS('📁 Panel CMF'!$D$3:$D$93,'Cobertura de Datos'!A28,'📁 Panel CMF'!$E$3:$E$93,"&lt;&gt;")</f>
        <v>7</v>
      </c>
      <c r="E78" s="73">
        <f>+AVERAGEIF('📁 Panel CMF'!$D$3:$D$93,'Estadística Descriptiva'!C78,'📁 Panel CMF'!$E$3:$E$93)</f>
        <v>48564</v>
      </c>
      <c r="F78" s="73" cm="1">
        <f t="array" ref="F78">+MEDIAN(IF('📁 Panel CMF'!$D$3:$D$93=C78,'📁 Panel CMF'!$E$3:$E$93))</f>
        <v>11783</v>
      </c>
      <c r="G78" s="73" cm="1">
        <f t="array" ref="G78">+_xlfn.STDEV.S(IF('📁 Panel CMF'!$D$3:$D$93='Estadística Descriptiva'!C78,'📁 Panel CMF'!$E$3:$E$93))</f>
        <v>104833.31668097377</v>
      </c>
      <c r="H78" s="73" cm="1">
        <f t="array" ref="H78">+MIN(IF('📁 Panel CMF'!$D$3:$D$93='Estadística Descriptiva'!C78,'📁 Panel CMF'!$E$3:$E$93))</f>
        <v>3323</v>
      </c>
      <c r="I78" s="73" cm="1">
        <f t="array" ref="I78">+MAX(IF('📁 Panel CMF'!$D$3:$D$93='Estadística Descriptiva'!C78,'📁 Panel CMF'!$E$3:$E$93))</f>
        <v>286085</v>
      </c>
    </row>
    <row r="79" spans="1:9" hidden="1" x14ac:dyDescent="0.3">
      <c r="A79" s="30" t="s">
        <v>129</v>
      </c>
      <c r="B79" s="72" t="s">
        <v>2025</v>
      </c>
      <c r="C79" s="72">
        <v>2023</v>
      </c>
      <c r="D79" s="72">
        <f>COUNTIFS('📁 Panel CMF'!$D$3:$D$93,'Cobertura de Datos'!A29,'📁 Panel CMF'!$E$3:$E$93,"&lt;&gt;")</f>
        <v>7</v>
      </c>
      <c r="E79" s="73">
        <f>+AVERAGEIF('📁 Panel CMF'!$D$3:$D$93,'Estadística Descriptiva'!C79,'📁 Panel CMF'!$E$3:$E$93)</f>
        <v>48230.571428571428</v>
      </c>
      <c r="F79" s="73" cm="1">
        <f t="array" ref="F79">+MEDIAN(IF('📁 Panel CMF'!$D$3:$D$93=C79,'📁 Panel CMF'!$E$3:$E$93))</f>
        <v>11267</v>
      </c>
      <c r="G79" s="73" cm="1">
        <f t="array" ref="G79">+_xlfn.STDEV.S(IF('📁 Panel CMF'!$D$3:$D$93='Estadística Descriptiva'!C79,'📁 Panel CMF'!$E$3:$E$93))</f>
        <v>100365.07401956311</v>
      </c>
      <c r="H79" s="73" cm="1">
        <f t="array" ref="H79">+MIN(IF('📁 Panel CMF'!$D$3:$D$93='Estadística Descriptiva'!C79,'📁 Panel CMF'!$E$3:$E$93))</f>
        <v>2591</v>
      </c>
      <c r="I79" s="73" cm="1">
        <f t="array" ref="I79">+MAX(IF('📁 Panel CMF'!$D$3:$D$93='Estadística Descriptiva'!C79,'📁 Panel CMF'!$E$3:$E$93))</f>
        <v>275445</v>
      </c>
    </row>
    <row r="80" spans="1:9" hidden="1" x14ac:dyDescent="0.3">
      <c r="A80" s="30" t="s">
        <v>129</v>
      </c>
      <c r="B80" s="72" t="s">
        <v>2025</v>
      </c>
      <c r="C80" s="72">
        <v>2024</v>
      </c>
      <c r="D80" s="72">
        <f>COUNTIFS('📁 Panel CMF'!$D$3:$D$93,'Cobertura de Datos'!A30,'📁 Panel CMF'!$E$3:$E$93,"&lt;&gt;")</f>
        <v>7</v>
      </c>
      <c r="E80" s="73">
        <f>+AVERAGEIF('📁 Panel CMF'!$D$3:$D$93,'Estadística Descriptiva'!C80,'📁 Panel CMF'!$E$3:$E$93)</f>
        <v>57819.714285714283</v>
      </c>
      <c r="F80" s="73" cm="1">
        <f t="array" ref="F80">+MEDIAN(IF('📁 Panel CMF'!$D$3:$D$93=C80,'📁 Panel CMF'!$E$3:$E$93))</f>
        <v>13928</v>
      </c>
      <c r="G80" s="73" cm="1">
        <f t="array" ref="G80">+_xlfn.STDEV.S(IF('📁 Panel CMF'!$D$3:$D$93='Estadística Descriptiva'!C80,'📁 Panel CMF'!$E$3:$E$93))</f>
        <v>119776.34141559327</v>
      </c>
      <c r="H80" s="73" cm="1">
        <f t="array" ref="H80">+MIN(IF('📁 Panel CMF'!$D$3:$D$93='Estadística Descriptiva'!C80,'📁 Panel CMF'!$E$3:$E$93))</f>
        <v>2322</v>
      </c>
      <c r="I80" s="73" cm="1">
        <f t="array" ref="I80">+MAX(IF('📁 Panel CMF'!$D$3:$D$93='Estadística Descriptiva'!C80,'📁 Panel CMF'!$E$3:$E$93))</f>
        <v>328952</v>
      </c>
    </row>
    <row r="81" spans="1:9" hidden="1" x14ac:dyDescent="0.3">
      <c r="A81" s="30" t="s">
        <v>129</v>
      </c>
      <c r="B81" s="72" t="s">
        <v>2025</v>
      </c>
      <c r="C81" s="72">
        <v>2025</v>
      </c>
      <c r="D81" s="72">
        <f>COUNTIFS('📁 Panel CMF'!$D$3:$D$93,'Cobertura de Datos'!A31,'📁 Panel CMF'!$E$3:$E$93,"&lt;&gt;")</f>
        <v>7</v>
      </c>
      <c r="E81" s="73">
        <f>+AVERAGEIF('📁 Panel CMF'!$D$3:$D$93,'Estadística Descriptiva'!C81,'📁 Panel CMF'!$E$3:$E$93)</f>
        <v>63697.857142857145</v>
      </c>
      <c r="F81" s="73" cm="1">
        <f t="array" ref="F81">+MEDIAN(IF('📁 Panel CMF'!$D$3:$D$93=C81,'📁 Panel CMF'!$E$3:$E$93))</f>
        <v>16292</v>
      </c>
      <c r="G81" s="73" cm="1">
        <f t="array" ref="G81">+_xlfn.STDEV.S(IF('📁 Panel CMF'!$D$3:$D$93='Estadística Descriptiva'!C81,'📁 Panel CMF'!$E$3:$E$93))</f>
        <v>130675.14217380006</v>
      </c>
      <c r="H81" s="73" cm="1">
        <f t="array" ref="H81">+MIN(IF('📁 Panel CMF'!$D$3:$D$93='Estadística Descriptiva'!C81,'📁 Panel CMF'!$E$3:$E$93))</f>
        <v>2284</v>
      </c>
      <c r="I81" s="73" cm="1">
        <f t="array" ref="I81">+MAX(IF('📁 Panel CMF'!$D$3:$D$93='Estadística Descriptiva'!C81,'📁 Panel CMF'!$E$3:$E$93))</f>
        <v>359492</v>
      </c>
    </row>
    <row r="82" spans="1:9" hidden="1" x14ac:dyDescent="0.3">
      <c r="A82" s="30" t="s">
        <v>129</v>
      </c>
      <c r="B82" s="72" t="s">
        <v>2026</v>
      </c>
      <c r="C82" s="72">
        <v>2013</v>
      </c>
      <c r="D82" s="72">
        <f>COUNTIFS('📁 Panel CMF'!$D$3:$D$93,C82,'📁 Panel CMF'!$E$3:$E$93,"&lt;&gt;")</f>
        <v>7</v>
      </c>
      <c r="E82" s="73">
        <f>+AVERAGEIF('📁 Panel CMF'!$D$3:$D$93,'Estadística Descriptiva'!C82,'📁 Panel CMF'!$H$3:$H$93)</f>
        <v>8839.6142857142859</v>
      </c>
      <c r="F82" s="73" cm="1">
        <f t="array" ref="F82">+MEDIAN(IF('📁 Panel CMF'!$D$3:$D$93=C82,'📁 Panel CMF'!$H$3:$H$93))</f>
        <v>3146.5</v>
      </c>
      <c r="G82" s="73" cm="1">
        <f t="array" ref="G82">+_xlfn.STDEV.S(IF('📁 Panel CMF'!$D$3:$D$93='Estadística Descriptiva'!C82,'📁 Panel CMF'!$H$3:$H$93))</f>
        <v>14835.765872762639</v>
      </c>
      <c r="H82" s="73" cm="1">
        <f t="array" ref="H82">+MIN(IF('📁 Panel CMF'!$D$3:$D$93='Estadística Descriptiva'!C82,'📁 Panel CMF'!$H$3:$H$93))</f>
        <v>685.6</v>
      </c>
      <c r="I82" s="73" cm="1">
        <f t="array" ref="I82">+MAX(IF('📁 Panel CMF'!$D$3:$D$93='Estadística Descriptiva'!C82,'📁 Panel CMF'!$H$3:$H$93))</f>
        <v>42042.9</v>
      </c>
    </row>
    <row r="83" spans="1:9" hidden="1" x14ac:dyDescent="0.3">
      <c r="A83" s="30" t="s">
        <v>129</v>
      </c>
      <c r="B83" s="72" t="s">
        <v>2026</v>
      </c>
      <c r="C83" s="72">
        <v>2014</v>
      </c>
      <c r="D83" s="72">
        <f>COUNTIFS('📁 Panel CMF'!$D$3:$D$93,C83,'📁 Panel CMF'!$E$3:$E$93,"&lt;&gt;")</f>
        <v>7</v>
      </c>
      <c r="E83" s="73">
        <f>+AVERAGEIF('📁 Panel CMF'!$D$3:$D$93,'Estadística Descriptiva'!C83,'📁 Panel CMF'!$H$3:$H$93)</f>
        <v>8363.5428571428583</v>
      </c>
      <c r="F83" s="73" cm="1">
        <f t="array" ref="F83">+MEDIAN(IF('📁 Panel CMF'!$D$3:$D$93=C83,'📁 Panel CMF'!$H$3:$H$93))</f>
        <v>2930.6</v>
      </c>
      <c r="G83" s="73" cm="1">
        <f t="array" ref="G83">+_xlfn.STDEV.S(IF('📁 Panel CMF'!$D$3:$D$93='Estadística Descriptiva'!C83,'📁 Panel CMF'!$H$3:$H$93))</f>
        <v>14776.565039374242</v>
      </c>
      <c r="H83" s="73" cm="1">
        <f t="array" ref="H83">+MIN(IF('📁 Panel CMF'!$D$3:$D$93='Estadística Descriptiva'!C83,'📁 Panel CMF'!$H$3:$H$93))</f>
        <v>816.6</v>
      </c>
      <c r="I83" s="73" cm="1">
        <f t="array" ref="I83">+MAX(IF('📁 Panel CMF'!$D$3:$D$93='Estadística Descriptiva'!C83,'📁 Panel CMF'!$H$3:$H$93))</f>
        <v>41701.1</v>
      </c>
    </row>
    <row r="84" spans="1:9" hidden="1" x14ac:dyDescent="0.3">
      <c r="A84" s="30" t="s">
        <v>129</v>
      </c>
      <c r="B84" s="72" t="s">
        <v>2026</v>
      </c>
      <c r="C84" s="72">
        <v>2015</v>
      </c>
      <c r="D84" s="72">
        <f>COUNTIFS('📁 Panel CMF'!$D$3:$D$93,C84,'📁 Panel CMF'!$E$3:$E$93,"&lt;&gt;")</f>
        <v>7</v>
      </c>
      <c r="E84" s="73">
        <f>+AVERAGEIF('📁 Panel CMF'!$D$3:$D$93,'Estadística Descriptiva'!C84,'📁 Panel CMF'!$H$3:$H$93)</f>
        <v>9005.5857142857149</v>
      </c>
      <c r="F84" s="73" cm="1">
        <f t="array" ref="F84">+MEDIAN(IF('📁 Panel CMF'!$D$3:$D$93=C84,'📁 Panel CMF'!$H$3:$H$93))</f>
        <v>2625.4</v>
      </c>
      <c r="G84" s="73" cm="1">
        <f t="array" ref="G84">+_xlfn.STDEV.S(IF('📁 Panel CMF'!$D$3:$D$93='Estadística Descriptiva'!C84,'📁 Panel CMF'!$H$3:$H$93))</f>
        <v>16531.067580107923</v>
      </c>
      <c r="H84" s="73" cm="1">
        <f t="array" ref="H84">+MIN(IF('📁 Panel CMF'!$D$3:$D$93='Estadística Descriptiva'!C84,'📁 Panel CMF'!$H$3:$H$93))</f>
        <v>956.6</v>
      </c>
      <c r="I84" s="73" cm="1">
        <f t="array" ref="I84">+MAX(IF('📁 Panel CMF'!$D$3:$D$93='Estadística Descriptiva'!C84,'📁 Panel CMF'!$H$3:$H$93))</f>
        <v>46345.1</v>
      </c>
    </row>
    <row r="85" spans="1:9" hidden="1" x14ac:dyDescent="0.3">
      <c r="A85" s="30" t="s">
        <v>129</v>
      </c>
      <c r="B85" s="72" t="s">
        <v>2026</v>
      </c>
      <c r="C85" s="72">
        <v>2016</v>
      </c>
      <c r="D85" s="72">
        <f>COUNTIFS('📁 Panel CMF'!$D$3:$D$93,C85,'📁 Panel CMF'!$E$3:$E$93,"&lt;&gt;")</f>
        <v>7</v>
      </c>
      <c r="E85" s="73">
        <f>+AVERAGEIF('📁 Panel CMF'!$D$3:$D$93,'Estadística Descriptiva'!C85,'📁 Panel CMF'!$H$3:$H$93)</f>
        <v>10018.242857142857</v>
      </c>
      <c r="F85" s="73" cm="1">
        <f t="array" ref="F85">+MEDIAN(IF('📁 Panel CMF'!$D$3:$D$93=C85,'📁 Panel CMF'!$H$3:$H$93))</f>
        <v>2822.3</v>
      </c>
      <c r="G85" s="73" cm="1">
        <f t="array" ref="G85">+_xlfn.STDEV.S(IF('📁 Panel CMF'!$D$3:$D$93='Estadística Descriptiva'!C85,'📁 Panel CMF'!$H$3:$H$93))</f>
        <v>18727.725799275715</v>
      </c>
      <c r="H85" s="73" cm="1">
        <f t="array" ref="H85">+MIN(IF('📁 Panel CMF'!$D$3:$D$93='Estadística Descriptiva'!C85,'📁 Panel CMF'!$H$3:$H$93))</f>
        <v>1094.7</v>
      </c>
      <c r="I85" s="73" cm="1">
        <f t="array" ref="I85">+MAX(IF('📁 Panel CMF'!$D$3:$D$93='Estadística Descriptiva'!C85,'📁 Panel CMF'!$H$3:$H$93))</f>
        <v>52321.1</v>
      </c>
    </row>
    <row r="86" spans="1:9" hidden="1" x14ac:dyDescent="0.3">
      <c r="A86" s="30" t="s">
        <v>129</v>
      </c>
      <c r="B86" s="72" t="s">
        <v>2026</v>
      </c>
      <c r="C86" s="72">
        <v>2017</v>
      </c>
      <c r="D86" s="72">
        <f>COUNTIFS('📁 Panel CMF'!$D$3:$D$93,C86,'📁 Panel CMF'!$E$3:$E$93,"&lt;&gt;")</f>
        <v>7</v>
      </c>
      <c r="E86" s="73">
        <f>+AVERAGEIF('📁 Panel CMF'!$D$3:$D$93,'Estadística Descriptiva'!C86,'📁 Panel CMF'!$H$3:$H$93)</f>
        <v>10546.142857142857</v>
      </c>
      <c r="F86" s="73" cm="1">
        <f t="array" ref="F86">+MEDIAN(IF('📁 Panel CMF'!$D$3:$D$93=C86,'📁 Panel CMF'!$H$3:$H$93))</f>
        <v>2687</v>
      </c>
      <c r="G86" s="73" cm="1">
        <f t="array" ref="G86">+_xlfn.STDEV.S(IF('📁 Panel CMF'!$D$3:$D$93='Estadística Descriptiva'!C86,'📁 Panel CMF'!$H$3:$H$93))</f>
        <v>19767.979077526459</v>
      </c>
      <c r="H86" s="73" cm="1">
        <f t="array" ref="H86">+MIN(IF('📁 Panel CMF'!$D$3:$D$93='Estadística Descriptiva'!C86,'📁 Panel CMF'!$H$3:$H$93))</f>
        <v>1225</v>
      </c>
      <c r="I86" s="73" cm="1">
        <f t="array" ref="I86">+MAX(IF('📁 Panel CMF'!$D$3:$D$93='Estadística Descriptiva'!C86,'📁 Panel CMF'!$H$3:$H$93))</f>
        <v>55197</v>
      </c>
    </row>
    <row r="87" spans="1:9" hidden="1" x14ac:dyDescent="0.3">
      <c r="A87" s="30" t="s">
        <v>129</v>
      </c>
      <c r="B87" s="72" t="s">
        <v>2026</v>
      </c>
      <c r="C87" s="72">
        <v>2018</v>
      </c>
      <c r="D87" s="72">
        <f>COUNTIFS('📁 Panel CMF'!$D$3:$D$93,C87,'📁 Panel CMF'!$E$3:$E$93,"&lt;&gt;")</f>
        <v>7</v>
      </c>
      <c r="E87" s="73">
        <f>+AVERAGEIF('📁 Panel CMF'!$D$3:$D$93,'Estadística Descriptiva'!C87,'📁 Panel CMF'!$H$3:$H$93)</f>
        <v>11130.142857142857</v>
      </c>
      <c r="F87" s="73" cm="1">
        <f t="array" ref="F87">+MEDIAN(IF('📁 Panel CMF'!$D$3:$D$93=C87,'📁 Panel CMF'!$H$3:$H$93))</f>
        <v>3158</v>
      </c>
      <c r="G87" s="73" cm="1">
        <f t="array" ref="G87">+_xlfn.STDEV.S(IF('📁 Panel CMF'!$D$3:$D$93='Estadística Descriptiva'!C87,'📁 Panel CMF'!$H$3:$H$93))</f>
        <v>20945.668330457345</v>
      </c>
      <c r="H87" s="73" cm="1">
        <f t="array" ref="H87">+MIN(IF('📁 Panel CMF'!$D$3:$D$93='Estadística Descriptiva'!C87,'📁 Panel CMF'!$H$3:$H$93))</f>
        <v>1281</v>
      </c>
      <c r="I87" s="73" cm="1">
        <f t="array" ref="I87">+MAX(IF('📁 Panel CMF'!$D$3:$D$93='Estadística Descriptiva'!C87,'📁 Panel CMF'!$H$3:$H$93))</f>
        <v>58453</v>
      </c>
    </row>
    <row r="88" spans="1:9" hidden="1" x14ac:dyDescent="0.3">
      <c r="A88" s="30" t="s">
        <v>129</v>
      </c>
      <c r="B88" s="72" t="s">
        <v>2026</v>
      </c>
      <c r="C88" s="72">
        <v>2019</v>
      </c>
      <c r="D88" s="72">
        <f>COUNTIFS('📁 Panel CMF'!$D$3:$D$93,C88,'📁 Panel CMF'!$E$3:$E$93,"&lt;&gt;")</f>
        <v>7</v>
      </c>
      <c r="E88" s="73">
        <f>+AVERAGEIF('📁 Panel CMF'!$D$3:$D$93,'Estadística Descriptiva'!C88,'📁 Panel CMF'!$H$3:$H$93)</f>
        <v>11879.571428571429</v>
      </c>
      <c r="F88" s="73" cm="1">
        <f t="array" ref="F88">+MEDIAN(IF('📁 Panel CMF'!$D$3:$D$93=C88,'📁 Panel CMF'!$H$3:$H$93))</f>
        <v>3350</v>
      </c>
      <c r="G88" s="73" cm="1">
        <f t="array" ref="G88">+_xlfn.STDEV.S(IF('📁 Panel CMF'!$D$3:$D$93='Estadística Descriptiva'!C88,'📁 Panel CMF'!$H$3:$H$93))</f>
        <v>22235.233645853921</v>
      </c>
      <c r="H88" s="73" cm="1">
        <f t="array" ref="H88">+MIN(IF('📁 Panel CMF'!$D$3:$D$93='Estadística Descriptiva'!C88,'📁 Panel CMF'!$H$3:$H$93))</f>
        <v>1434</v>
      </c>
      <c r="I88" s="73" cm="1">
        <f t="array" ref="I88">+MAX(IF('📁 Panel CMF'!$D$3:$D$93='Estadística Descriptiva'!C88,'📁 Panel CMF'!$H$3:$H$93))</f>
        <v>62118</v>
      </c>
    </row>
    <row r="89" spans="1:9" hidden="1" x14ac:dyDescent="0.3">
      <c r="A89" s="30" t="s">
        <v>129</v>
      </c>
      <c r="B89" s="72" t="s">
        <v>2026</v>
      </c>
      <c r="C89" s="72">
        <v>2020</v>
      </c>
      <c r="D89" s="72">
        <f>COUNTIFS('📁 Panel CMF'!$D$3:$D$93,C89,'📁 Panel CMF'!$E$3:$E$93,"&lt;&gt;")</f>
        <v>7</v>
      </c>
      <c r="E89" s="73">
        <f>+AVERAGEIF('📁 Panel CMF'!$D$3:$D$93,'Estadística Descriptiva'!C89,'📁 Panel CMF'!$H$3:$H$93)</f>
        <v>12468.428571428571</v>
      </c>
      <c r="F89" s="73" cm="1">
        <f t="array" ref="F89">+MEDIAN(IF('📁 Panel CMF'!$D$3:$D$93=C89,'📁 Panel CMF'!$H$3:$H$93))</f>
        <v>4165</v>
      </c>
      <c r="G89" s="73" cm="1">
        <f t="array" ref="G89">+_xlfn.STDEV.S(IF('📁 Panel CMF'!$D$3:$D$93='Estadística Descriptiva'!C89,'📁 Panel CMF'!$H$3:$H$93))</f>
        <v>22605.472426362772</v>
      </c>
      <c r="H89" s="73" cm="1">
        <f t="array" ref="H89">+MIN(IF('📁 Panel CMF'!$D$3:$D$93='Estadística Descriptiva'!C89,'📁 Panel CMF'!$H$3:$H$93))</f>
        <v>1831</v>
      </c>
      <c r="I89" s="73" cm="1">
        <f t="array" ref="I89">+MAX(IF('📁 Panel CMF'!$D$3:$D$93='Estadística Descriptiva'!C89,'📁 Panel CMF'!$H$3:$H$93))</f>
        <v>63610</v>
      </c>
    </row>
    <row r="90" spans="1:9" hidden="1" x14ac:dyDescent="0.3">
      <c r="A90" s="30" t="s">
        <v>129</v>
      </c>
      <c r="B90" s="72" t="s">
        <v>2026</v>
      </c>
      <c r="C90" s="72">
        <v>2021</v>
      </c>
      <c r="D90" s="72">
        <f>COUNTIFS('📁 Panel CMF'!$D$3:$D$93,C90,'📁 Panel CMF'!$E$3:$E$93,"&lt;&gt;")</f>
        <v>7</v>
      </c>
      <c r="E90" s="73">
        <f>+AVERAGEIF('📁 Panel CMF'!$D$3:$D$93,'Estadística Descriptiva'!C90,'📁 Panel CMF'!$H$3:$H$93)</f>
        <v>12670.857142857143</v>
      </c>
      <c r="F90" s="73" cm="1">
        <f t="array" ref="F90">+MEDIAN(IF('📁 Panel CMF'!$D$3:$D$93=C90,'📁 Panel CMF'!$H$3:$H$93))</f>
        <v>3836</v>
      </c>
      <c r="G90" s="73" cm="1">
        <f t="array" ref="G90">+_xlfn.STDEV.S(IF('📁 Panel CMF'!$D$3:$D$93='Estadística Descriptiva'!C90,'📁 Panel CMF'!$H$3:$H$93))</f>
        <v>24250.102676267659</v>
      </c>
      <c r="H90" s="73" cm="1">
        <f t="array" ref="H90">+MIN(IF('📁 Panel CMF'!$D$3:$D$93='Estadística Descriptiva'!C90,'📁 Panel CMF'!$H$3:$H$93))</f>
        <v>1269</v>
      </c>
      <c r="I90" s="73" cm="1">
        <f t="array" ref="I90">+MAX(IF('📁 Panel CMF'!$D$3:$D$93='Estadística Descriptiva'!C90,'📁 Panel CMF'!$H$3:$H$93))</f>
        <v>67461</v>
      </c>
    </row>
    <row r="91" spans="1:9" hidden="1" x14ac:dyDescent="0.3">
      <c r="A91" s="30" t="s">
        <v>129</v>
      </c>
      <c r="B91" s="72" t="s">
        <v>2026</v>
      </c>
      <c r="C91" s="72">
        <v>2022</v>
      </c>
      <c r="D91" s="72">
        <f>COUNTIFS('📁 Panel CMF'!$D$3:$D$93,C91,'📁 Panel CMF'!$E$3:$E$93,"&lt;&gt;")</f>
        <v>7</v>
      </c>
      <c r="E91" s="73">
        <f>+AVERAGEIF('📁 Panel CMF'!$D$3:$D$93,'Estadística Descriptiva'!C91,'📁 Panel CMF'!$H$3:$H$93)</f>
        <v>13111.4</v>
      </c>
      <c r="F91" s="73" cm="1">
        <f t="array" ref="F91">+MEDIAN(IF('📁 Panel CMF'!$D$3:$D$93=C91,'📁 Panel CMF'!$H$3:$H$93))</f>
        <v>4485</v>
      </c>
      <c r="G91" s="73" cm="1">
        <f t="array" ref="G91">+_xlfn.STDEV.S(IF('📁 Panel CMF'!$D$3:$D$93='Estadística Descriptiva'!C91,'📁 Panel CMF'!$H$3:$H$93))</f>
        <v>24975.373146094666</v>
      </c>
      <c r="H91" s="73" cm="1">
        <f t="array" ref="H91">+MIN(IF('📁 Panel CMF'!$D$3:$D$93='Estadística Descriptiva'!C91,'📁 Panel CMF'!$H$3:$H$93))</f>
        <v>1018</v>
      </c>
      <c r="I91" s="73" cm="1">
        <f t="array" ref="I91">+MAX(IF('📁 Panel CMF'!$D$3:$D$93='Estadística Descriptiva'!C91,'📁 Panel CMF'!$H$3:$H$93))</f>
        <v>69565</v>
      </c>
    </row>
    <row r="92" spans="1:9" hidden="1" x14ac:dyDescent="0.3">
      <c r="A92" s="30" t="s">
        <v>129</v>
      </c>
      <c r="B92" s="72" t="s">
        <v>2026</v>
      </c>
      <c r="C92" s="72">
        <v>2023</v>
      </c>
      <c r="D92" s="72">
        <f>COUNTIFS('📁 Panel CMF'!$D$3:$D$93,C92,'📁 Panel CMF'!$E$3:$E$93,"&lt;&gt;")</f>
        <v>7</v>
      </c>
      <c r="E92" s="73">
        <f>+AVERAGEIF('📁 Panel CMF'!$D$3:$D$93,'Estadística Descriptiva'!C92,'📁 Panel CMF'!$H$3:$H$93)</f>
        <v>13246.657142857144</v>
      </c>
      <c r="F92" s="73" cm="1">
        <f t="array" ref="F92">+MEDIAN(IF('📁 Panel CMF'!$D$3:$D$93=C92,'📁 Panel CMF'!$H$3:$H$93))</f>
        <v>4961</v>
      </c>
      <c r="G92" s="73" cm="1">
        <f t="array" ref="G92">+_xlfn.STDEV.S(IF('📁 Panel CMF'!$D$3:$D$93='Estadística Descriptiva'!C92,'📁 Panel CMF'!$H$3:$H$93))</f>
        <v>23846.330738491481</v>
      </c>
      <c r="H92" s="73" cm="1">
        <f t="array" ref="H92">+MIN(IF('📁 Panel CMF'!$D$3:$D$93='Estadística Descriptiva'!C92,'📁 Panel CMF'!$H$3:$H$93))</f>
        <v>1432</v>
      </c>
      <c r="I92" s="73" cm="1">
        <f t="array" ref="I92">+MAX(IF('📁 Panel CMF'!$D$3:$D$93='Estadística Descriptiva'!C92,'📁 Panel CMF'!$H$3:$H$93))</f>
        <v>67113</v>
      </c>
    </row>
    <row r="93" spans="1:9" hidden="1" x14ac:dyDescent="0.3">
      <c r="A93" s="30" t="s">
        <v>129</v>
      </c>
      <c r="B93" s="72" t="s">
        <v>2026</v>
      </c>
      <c r="C93" s="72">
        <v>2024</v>
      </c>
      <c r="D93" s="72">
        <f>COUNTIFS('📁 Panel CMF'!$D$3:$D$93,C93,'📁 Panel CMF'!$E$3:$E$93,"&lt;&gt;")</f>
        <v>7</v>
      </c>
      <c r="E93" s="73">
        <f>+AVERAGEIF('📁 Panel CMF'!$D$3:$D$93,'Estadística Descriptiva'!C93,'📁 Panel CMF'!$H$3:$H$93)</f>
        <v>15615.714285714286</v>
      </c>
      <c r="F93" s="73" cm="1">
        <f t="array" ref="F93">+MEDIAN(IF('📁 Panel CMF'!$D$3:$D$93=C93,'📁 Panel CMF'!$H$3:$H$93))</f>
        <v>6044</v>
      </c>
      <c r="G93" s="73" cm="1">
        <f t="array" ref="G93">+_xlfn.STDEV.S(IF('📁 Panel CMF'!$D$3:$D$93='Estadística Descriptiva'!C93,'📁 Panel CMF'!$H$3:$H$93))</f>
        <v>28056.016625757155</v>
      </c>
      <c r="H93" s="73" cm="1">
        <f t="array" ref="H93">+MIN(IF('📁 Panel CMF'!$D$3:$D$93='Estadística Descriptiva'!C93,'📁 Panel CMF'!$H$3:$H$93))</f>
        <v>1554</v>
      </c>
      <c r="I93" s="73" cm="1">
        <f t="array" ref="I93">+MAX(IF('📁 Panel CMF'!$D$3:$D$93='Estadística Descriptiva'!C93,'📁 Panel CMF'!$H$3:$H$93))</f>
        <v>79042</v>
      </c>
    </row>
    <row r="94" spans="1:9" hidden="1" x14ac:dyDescent="0.3">
      <c r="A94" s="30" t="s">
        <v>129</v>
      </c>
      <c r="B94" s="72" t="s">
        <v>2026</v>
      </c>
      <c r="C94" s="72">
        <v>2025</v>
      </c>
      <c r="D94" s="72">
        <f>COUNTIFS('📁 Panel CMF'!$D$3:$D$93,C94,'📁 Panel CMF'!$E$3:$E$93,"&lt;&gt;")</f>
        <v>7</v>
      </c>
      <c r="E94" s="73">
        <f>+AVERAGEIF('📁 Panel CMF'!$D$3:$D$93,'Estadística Descriptiva'!C94,'📁 Panel CMF'!$H$3:$H$93)</f>
        <v>17537.599999999999</v>
      </c>
      <c r="F94" s="73" cm="1">
        <f t="array" ref="F94">+MEDIAN(IF('📁 Panel CMF'!$D$3:$D$93=C94,'📁 Panel CMF'!$H$3:$H$93))</f>
        <v>6952</v>
      </c>
      <c r="G94" s="73" cm="1">
        <f t="array" ref="G94">+_xlfn.STDEV.S(IF('📁 Panel CMF'!$D$3:$D$93='Estadística Descriptiva'!C94,'📁 Panel CMF'!$H$3:$H$93))</f>
        <v>31769.791316909843</v>
      </c>
      <c r="H94" s="73" cm="1">
        <f t="array" ref="H94">+MIN(IF('📁 Panel CMF'!$D$3:$D$93='Estadística Descriptiva'!C94,'📁 Panel CMF'!$H$3:$H$93))</f>
        <v>1205</v>
      </c>
      <c r="I94" s="73" cm="1">
        <f t="array" ref="I94">+MAX(IF('📁 Panel CMF'!$D$3:$D$93='Estadística Descriptiva'!C94,'📁 Panel CMF'!$H$3:$H$93))</f>
        <v>89298</v>
      </c>
    </row>
    <row r="95" spans="1:9" hidden="1" x14ac:dyDescent="0.3">
      <c r="A95" s="30" t="s">
        <v>129</v>
      </c>
      <c r="B95" s="72" t="s">
        <v>2029</v>
      </c>
      <c r="C95" s="72">
        <v>2013</v>
      </c>
      <c r="D95" s="72">
        <f>COUNTIFS('📁 Panel CMF'!$D$3:$D$93,C95,'📁 Panel CMF'!$E$3:$E$93,"&lt;&gt;")</f>
        <v>7</v>
      </c>
      <c r="E95" s="73">
        <f>+AVERAGEIF('📁 Panel CMF'!$D$3:$D$93,'Estadística Descriptiva'!C95,'📁 Panel CMF'!$M$3:$M$93)</f>
        <v>204870.48571428569</v>
      </c>
      <c r="F95" s="73" cm="1">
        <f t="array" ref="F95">+MEDIAN(IF('📁 Panel CMF'!$D$3:$D$93=C95,'📁 Panel CMF'!$M$3:$M$93))</f>
        <v>32276.2</v>
      </c>
      <c r="G95" s="73" cm="1">
        <f t="array" ref="G95">+_xlfn.STDEV.S(IF('📁 Panel CMF'!$D$3:$D$93='Estadística Descriptiva'!C95,'📁 Panel CMF'!$M$3:$M$93))</f>
        <v>412940.10107197316</v>
      </c>
      <c r="H95" s="73" cm="1">
        <f t="array" ref="H95">+MIN(IF('📁 Panel CMF'!$D$3:$D$93='Estadística Descriptiva'!C95,'📁 Panel CMF'!$M$3:$M$93))</f>
        <v>16980.099999999999</v>
      </c>
      <c r="I95" s="73" cm="1">
        <f t="array" ref="I95">+MAX(IF('📁 Panel CMF'!$D$3:$D$93='Estadística Descriptiva'!C95,'📁 Panel CMF'!$M$3:$M$93))</f>
        <v>1137043.2</v>
      </c>
    </row>
    <row r="96" spans="1:9" hidden="1" x14ac:dyDescent="0.3">
      <c r="A96" s="30" t="s">
        <v>129</v>
      </c>
      <c r="B96" s="72" t="s">
        <v>2029</v>
      </c>
      <c r="C96" s="72">
        <v>2014</v>
      </c>
      <c r="D96" s="72">
        <f>COUNTIFS('📁 Panel CMF'!$D$3:$D$93,C96,'📁 Panel CMF'!$E$3:$E$93,"&lt;&gt;")</f>
        <v>7</v>
      </c>
      <c r="E96" s="73">
        <f>+AVERAGEIF('📁 Panel CMF'!$D$3:$D$93,'Estadística Descriptiva'!C96,'📁 Panel CMF'!$M$3:$M$93)</f>
        <v>204578.28571428568</v>
      </c>
      <c r="F96" s="73" cm="1">
        <f t="array" ref="F96">+MEDIAN(IF('📁 Panel CMF'!$D$3:$D$93=C96,'📁 Panel CMF'!$M$3:$M$93))</f>
        <v>27036.7</v>
      </c>
      <c r="G96" s="73" cm="1">
        <f t="array" ref="G96">+_xlfn.STDEV.S(IF('📁 Panel CMF'!$D$3:$D$93='Estadística Descriptiva'!C96,'📁 Panel CMF'!$M$3:$M$93))</f>
        <v>415784.01676360541</v>
      </c>
      <c r="H96" s="73" cm="1">
        <f t="array" ref="H96">+MIN(IF('📁 Panel CMF'!$D$3:$D$93='Estadística Descriptiva'!C96,'📁 Panel CMF'!$M$3:$M$93))</f>
        <v>15653.3</v>
      </c>
      <c r="I96" s="73" cm="1">
        <f t="array" ref="I96">+MAX(IF('📁 Panel CMF'!$D$3:$D$93='Estadística Descriptiva'!C96,'📁 Panel CMF'!$M$3:$M$93))</f>
        <v>1143544.2</v>
      </c>
    </row>
    <row r="97" spans="1:9" hidden="1" x14ac:dyDescent="0.3">
      <c r="A97" s="30" t="s">
        <v>129</v>
      </c>
      <c r="B97" s="72" t="s">
        <v>2029</v>
      </c>
      <c r="C97" s="72">
        <v>2015</v>
      </c>
      <c r="D97" s="72">
        <f>COUNTIFS('📁 Panel CMF'!$D$3:$D$93,C97,'📁 Panel CMF'!$E$3:$E$93,"&lt;&gt;")</f>
        <v>7</v>
      </c>
      <c r="E97" s="73">
        <f>+AVERAGEIF('📁 Panel CMF'!$D$3:$D$93,'Estadística Descriptiva'!C97,'📁 Panel CMF'!$M$3:$M$93)</f>
        <v>218489.21428571429</v>
      </c>
      <c r="F97" s="73" cm="1">
        <f t="array" ref="F97">+MEDIAN(IF('📁 Panel CMF'!$D$3:$D$93=C97,'📁 Panel CMF'!$M$3:$M$93))</f>
        <v>28433</v>
      </c>
      <c r="G97" s="73" cm="1">
        <f t="array" ref="G97">+_xlfn.STDEV.S(IF('📁 Panel CMF'!$D$3:$D$93='Estadística Descriptiva'!C97,'📁 Panel CMF'!$M$3:$M$93))</f>
        <v>452521.30273006833</v>
      </c>
      <c r="H97" s="73" cm="1">
        <f t="array" ref="H97">+MIN(IF('📁 Panel CMF'!$D$3:$D$93='Estadística Descriptiva'!C97,'📁 Panel CMF'!$M$3:$M$93))</f>
        <v>14763.8</v>
      </c>
      <c r="I97" s="73" cm="1">
        <f t="array" ref="I97">+MAX(IF('📁 Panel CMF'!$D$3:$D$93='Estadística Descriptiva'!C97,'📁 Panel CMF'!$M$3:$M$93))</f>
        <v>1241436.8</v>
      </c>
    </row>
    <row r="98" spans="1:9" hidden="1" x14ac:dyDescent="0.3">
      <c r="A98" s="30" t="s">
        <v>129</v>
      </c>
      <c r="B98" s="72" t="s">
        <v>2029</v>
      </c>
      <c r="C98" s="72">
        <v>2016</v>
      </c>
      <c r="D98" s="72">
        <f>COUNTIFS('📁 Panel CMF'!$D$3:$D$93,C98,'📁 Panel CMF'!$E$3:$E$93,"&lt;&gt;")</f>
        <v>7</v>
      </c>
      <c r="E98" s="73">
        <f>+AVERAGEIF('📁 Panel CMF'!$D$3:$D$93,'Estadística Descriptiva'!C98,'📁 Panel CMF'!$M$3:$M$93)</f>
        <v>238066.81428571427</v>
      </c>
      <c r="F98" s="73" cm="1">
        <f t="array" ref="F98">+MEDIAN(IF('📁 Panel CMF'!$D$3:$D$93=C98,'📁 Panel CMF'!$M$3:$M$93))</f>
        <v>33393.5</v>
      </c>
      <c r="G98" s="73" cm="1">
        <f t="array" ref="G98">+_xlfn.STDEV.S(IF('📁 Panel CMF'!$D$3:$D$93='Estadística Descriptiva'!C98,'📁 Panel CMF'!$M$3:$M$93))</f>
        <v>500901.08383596863</v>
      </c>
      <c r="H98" s="73" cm="1">
        <f t="array" ref="H98">+MIN(IF('📁 Panel CMF'!$D$3:$D$93='Estadística Descriptiva'!C98,'📁 Panel CMF'!$M$3:$M$93))</f>
        <v>15715.4</v>
      </c>
      <c r="I98" s="73" cm="1">
        <f t="array" ref="I98">+MAX(IF('📁 Panel CMF'!$D$3:$D$93='Estadística Descriptiva'!C98,'📁 Panel CMF'!$M$3:$M$93))</f>
        <v>1371455.7</v>
      </c>
    </row>
    <row r="99" spans="1:9" hidden="1" x14ac:dyDescent="0.3">
      <c r="A99" s="30" t="s">
        <v>129</v>
      </c>
      <c r="B99" s="72" t="s">
        <v>2029</v>
      </c>
      <c r="C99" s="72">
        <v>2017</v>
      </c>
      <c r="D99" s="72">
        <f>COUNTIFS('📁 Panel CMF'!$D$3:$D$93,C99,'📁 Panel CMF'!$E$3:$E$93,"&lt;&gt;")</f>
        <v>7</v>
      </c>
      <c r="E99" s="73">
        <f>+AVERAGEIF('📁 Panel CMF'!$D$3:$D$93,'Estadística Descriptiva'!C99,'📁 Panel CMF'!$M$3:$M$93)</f>
        <v>258711.14285714287</v>
      </c>
      <c r="F99" s="73" cm="1">
        <f t="array" ref="F99">+MEDIAN(IF('📁 Panel CMF'!$D$3:$D$93=C99,'📁 Panel CMF'!$M$3:$M$93))</f>
        <v>37342</v>
      </c>
      <c r="G99" s="73" cm="1">
        <f t="array" ref="G99">+_xlfn.STDEV.S(IF('📁 Panel CMF'!$D$3:$D$93='Estadística Descriptiva'!C99,'📁 Panel CMF'!$M$3:$M$93))</f>
        <v>544734.21349297452</v>
      </c>
      <c r="H99" s="73" cm="1">
        <f t="array" ref="H99">+MIN(IF('📁 Panel CMF'!$D$3:$D$93='Estadística Descriptiva'!C99,'📁 Panel CMF'!$M$3:$M$93))</f>
        <v>17021</v>
      </c>
      <c r="I99" s="73" cm="1">
        <f t="array" ref="I99">+MAX(IF('📁 Panel CMF'!$D$3:$D$93='Estadística Descriptiva'!C99,'📁 Panel CMF'!$M$3:$M$93))</f>
        <v>1491468</v>
      </c>
    </row>
    <row r="100" spans="1:9" hidden="1" x14ac:dyDescent="0.3">
      <c r="A100" s="30" t="s">
        <v>129</v>
      </c>
      <c r="B100" s="72" t="s">
        <v>2029</v>
      </c>
      <c r="C100" s="72">
        <v>2018</v>
      </c>
      <c r="D100" s="72">
        <f>COUNTIFS('📁 Panel CMF'!$D$3:$D$93,C100,'📁 Panel CMF'!$E$3:$E$93,"&lt;&gt;")</f>
        <v>7</v>
      </c>
      <c r="E100" s="73">
        <f>+AVERAGEIF('📁 Panel CMF'!$D$3:$D$93,'Estadística Descriptiva'!C100,'📁 Panel CMF'!$M$3:$M$93)</f>
        <v>283094.85714285716</v>
      </c>
      <c r="F100" s="73" cm="1">
        <f t="array" ref="F100">+MEDIAN(IF('📁 Panel CMF'!$D$3:$D$93=C100,'📁 Panel CMF'!$M$3:$M$93))</f>
        <v>42902</v>
      </c>
      <c r="G100" s="73" cm="1">
        <f t="array" ref="G100">+_xlfn.STDEV.S(IF('📁 Panel CMF'!$D$3:$D$93='Estadística Descriptiva'!C100,'📁 Panel CMF'!$M$3:$M$93))</f>
        <v>600128.18667498825</v>
      </c>
      <c r="H100" s="73" cm="1">
        <f t="array" ref="H100">+MIN(IF('📁 Panel CMF'!$D$3:$D$93='Estadística Descriptiva'!C100,'📁 Panel CMF'!$M$3:$M$93))</f>
        <v>16872</v>
      </c>
      <c r="I100" s="73" cm="1">
        <f t="array" ref="I100">+MAX(IF('📁 Panel CMF'!$D$3:$D$93='Estadística Descriptiva'!C100,'📁 Panel CMF'!$M$3:$M$93))</f>
        <v>1641723</v>
      </c>
    </row>
    <row r="101" spans="1:9" hidden="1" x14ac:dyDescent="0.3">
      <c r="A101" s="30" t="s">
        <v>129</v>
      </c>
      <c r="B101" s="72" t="s">
        <v>2029</v>
      </c>
      <c r="C101" s="72">
        <v>2019</v>
      </c>
      <c r="D101" s="72">
        <f>COUNTIFS('📁 Panel CMF'!$D$3:$D$93,C101,'📁 Panel CMF'!$E$3:$E$93,"&lt;&gt;")</f>
        <v>7</v>
      </c>
      <c r="E101" s="73">
        <f>+AVERAGEIF('📁 Panel CMF'!$D$3:$D$93,'Estadística Descriptiva'!C101,'📁 Panel CMF'!$M$3:$M$93)</f>
        <v>313776.85714285716</v>
      </c>
      <c r="F101" s="73" cm="1">
        <f t="array" ref="F101">+MEDIAN(IF('📁 Panel CMF'!$D$3:$D$93=C101,'📁 Panel CMF'!$M$3:$M$93))</f>
        <v>50812</v>
      </c>
      <c r="G101" s="73" cm="1">
        <f t="array" ref="G101">+_xlfn.STDEV.S(IF('📁 Panel CMF'!$D$3:$D$93='Estadística Descriptiva'!C101,'📁 Panel CMF'!$M$3:$M$93))</f>
        <v>671359.15021629282</v>
      </c>
      <c r="H101" s="73" cm="1">
        <f t="array" ref="H101">+MIN(IF('📁 Panel CMF'!$D$3:$D$93='Estadística Descriptiva'!C101,'📁 Panel CMF'!$M$3:$M$93))</f>
        <v>16086</v>
      </c>
      <c r="I101" s="73" cm="1">
        <f t="array" ref="I101">+MAX(IF('📁 Panel CMF'!$D$3:$D$93='Estadística Descriptiva'!C101,'📁 Panel CMF'!$M$3:$M$93))</f>
        <v>1834084</v>
      </c>
    </row>
    <row r="102" spans="1:9" hidden="1" x14ac:dyDescent="0.3">
      <c r="A102" s="30" t="s">
        <v>129</v>
      </c>
      <c r="B102" s="72" t="s">
        <v>2029</v>
      </c>
      <c r="C102" s="72">
        <v>2020</v>
      </c>
      <c r="D102" s="72">
        <f>COUNTIFS('📁 Panel CMF'!$D$3:$D$93,C102,'📁 Panel CMF'!$E$3:$E$93,"&lt;&gt;")</f>
        <v>7</v>
      </c>
      <c r="E102" s="73">
        <f>+AVERAGEIF('📁 Panel CMF'!$D$3:$D$93,'Estadística Descriptiva'!C102,'📁 Panel CMF'!$M$3:$M$93)</f>
        <v>362830.28571428574</v>
      </c>
      <c r="F102" s="73" cm="1">
        <f t="array" ref="F102">+MEDIAN(IF('📁 Panel CMF'!$D$3:$D$93=C102,'📁 Panel CMF'!$M$3:$M$93))</f>
        <v>54171</v>
      </c>
      <c r="G102" s="73" cm="1">
        <f t="array" ref="G102">+_xlfn.STDEV.S(IF('📁 Panel CMF'!$D$3:$D$93='Estadística Descriptiva'!C102,'📁 Panel CMF'!$M$3:$M$93))</f>
        <v>794199.09049719479</v>
      </c>
      <c r="H102" s="73" cm="1">
        <f t="array" ref="H102">+MIN(IF('📁 Panel CMF'!$D$3:$D$93='Estadística Descriptiva'!C102,'📁 Panel CMF'!$M$3:$M$93))</f>
        <v>15029</v>
      </c>
      <c r="I102" s="73" cm="1">
        <f t="array" ref="I102">+MAX(IF('📁 Panel CMF'!$D$3:$D$93='Estadística Descriptiva'!C102,'📁 Panel CMF'!$M$3:$M$93))</f>
        <v>2161912</v>
      </c>
    </row>
    <row r="103" spans="1:9" hidden="1" x14ac:dyDescent="0.3">
      <c r="A103" s="30" t="s">
        <v>129</v>
      </c>
      <c r="B103" s="72" t="s">
        <v>2029</v>
      </c>
      <c r="C103" s="72">
        <v>2021</v>
      </c>
      <c r="D103" s="72">
        <f>COUNTIFS('📁 Panel CMF'!$D$3:$D$93,C103,'📁 Panel CMF'!$E$3:$E$93,"&lt;&gt;")</f>
        <v>7</v>
      </c>
      <c r="E103" s="73">
        <f>+AVERAGEIF('📁 Panel CMF'!$D$3:$D$93,'Estadística Descriptiva'!C103,'📁 Panel CMF'!$M$3:$M$93)</f>
        <v>405696.28571428574</v>
      </c>
      <c r="F103" s="73" cm="1">
        <f t="array" ref="F103">+MEDIAN(IF('📁 Panel CMF'!$D$3:$D$93=C103,'📁 Panel CMF'!$M$3:$M$93))</f>
        <v>58971</v>
      </c>
      <c r="G103" s="73" cm="1">
        <f t="array" ref="G103">+_xlfn.STDEV.S(IF('📁 Panel CMF'!$D$3:$D$93='Estadística Descriptiva'!C103,'📁 Panel CMF'!$M$3:$M$93))</f>
        <v>897682.29660121852</v>
      </c>
      <c r="H103" s="73" cm="1">
        <f t="array" ref="H103">+MIN(IF('📁 Panel CMF'!$D$3:$D$93='Estadística Descriptiva'!C103,'📁 Panel CMF'!$M$3:$M$93))</f>
        <v>15707</v>
      </c>
      <c r="I103" s="73" cm="1">
        <f t="array" ref="I103">+MAX(IF('📁 Panel CMF'!$D$3:$D$93='Estadística Descriptiva'!C103,'📁 Panel CMF'!$M$3:$M$93))</f>
        <v>2439508</v>
      </c>
    </row>
    <row r="104" spans="1:9" hidden="1" x14ac:dyDescent="0.3">
      <c r="A104" s="30" t="s">
        <v>129</v>
      </c>
      <c r="B104" s="72" t="s">
        <v>2029</v>
      </c>
      <c r="C104" s="72">
        <v>2022</v>
      </c>
      <c r="D104" s="72">
        <f>COUNTIFS('📁 Panel CMF'!$D$3:$D$93,C104,'📁 Panel CMF'!$E$3:$E$93,"&lt;&gt;")</f>
        <v>7</v>
      </c>
      <c r="E104" s="73">
        <f>+AVERAGEIF('📁 Panel CMF'!$D$3:$D$93,'Estadística Descriptiva'!C104,'📁 Panel CMF'!$M$3:$M$93)</f>
        <v>449838</v>
      </c>
      <c r="F104" s="73" cm="1">
        <f t="array" ref="F104">+MEDIAN(IF('📁 Panel CMF'!$D$3:$D$93=C104,'📁 Panel CMF'!$M$3:$M$93))</f>
        <v>68830</v>
      </c>
      <c r="G104" s="73" cm="1">
        <f t="array" ref="G104">+_xlfn.STDEV.S(IF('📁 Panel CMF'!$D$3:$D$93='Estadística Descriptiva'!C104,'📁 Panel CMF'!$M$3:$M$93))</f>
        <v>1013370.5041224228</v>
      </c>
      <c r="H104" s="73" cm="1">
        <f t="array" ref="H104">+MIN(IF('📁 Panel CMF'!$D$3:$D$93='Estadística Descriptiva'!C104,'📁 Panel CMF'!$M$3:$M$93))</f>
        <v>13697</v>
      </c>
      <c r="I104" s="73" cm="1">
        <f t="array" ref="I104">+MAX(IF('📁 Panel CMF'!$D$3:$D$93='Estadística Descriptiva'!C104,'📁 Panel CMF'!$M$3:$M$93))</f>
        <v>2746337</v>
      </c>
    </row>
    <row r="105" spans="1:9" hidden="1" x14ac:dyDescent="0.3">
      <c r="A105" s="30" t="s">
        <v>129</v>
      </c>
      <c r="B105" s="72" t="s">
        <v>2029</v>
      </c>
      <c r="C105" s="72">
        <v>2023</v>
      </c>
      <c r="D105" s="72">
        <f>COUNTIFS('📁 Panel CMF'!$D$3:$D$93,C105,'📁 Panel CMF'!$E$3:$E$93,"&lt;&gt;")</f>
        <v>7</v>
      </c>
      <c r="E105" s="73">
        <f>+AVERAGEIF('📁 Panel CMF'!$D$3:$D$93,'Estadística Descriptiva'!C105,'📁 Panel CMF'!$M$3:$M$93)</f>
        <v>510130.14285714284</v>
      </c>
      <c r="F105" s="73" cm="1">
        <f t="array" ref="F105">+MEDIAN(IF('📁 Panel CMF'!$D$3:$D$93=C105,'📁 Panel CMF'!$M$3:$M$93))</f>
        <v>77988</v>
      </c>
      <c r="G105" s="73" cm="1">
        <f t="array" ref="G105">+_xlfn.STDEV.S(IF('📁 Panel CMF'!$D$3:$D$93='Estadística Descriptiva'!C105,'📁 Panel CMF'!$M$3:$M$93))</f>
        <v>1156932.3983511208</v>
      </c>
      <c r="H105" s="73" cm="1">
        <f t="array" ref="H105">+MIN(IF('📁 Panel CMF'!$D$3:$D$93='Estadística Descriptiva'!C105,'📁 Panel CMF'!$M$3:$M$93))</f>
        <v>12177</v>
      </c>
      <c r="I105" s="73" cm="1">
        <f t="array" ref="I105">+MAX(IF('📁 Panel CMF'!$D$3:$D$93='Estadística Descriptiva'!C105,'📁 Panel CMF'!$M$3:$M$93))</f>
        <v>3132431</v>
      </c>
    </row>
    <row r="106" spans="1:9" hidden="1" x14ac:dyDescent="0.3">
      <c r="A106" s="30" t="s">
        <v>129</v>
      </c>
      <c r="B106" s="72" t="s">
        <v>2029</v>
      </c>
      <c r="C106" s="72">
        <v>2024</v>
      </c>
      <c r="D106" s="72">
        <f>COUNTIFS('📁 Panel CMF'!$D$3:$D$93,C106,'📁 Panel CMF'!$E$3:$E$93,"&lt;&gt;")</f>
        <v>7</v>
      </c>
      <c r="E106" s="73">
        <f>+AVERAGEIF('📁 Panel CMF'!$D$3:$D$93,'Estadística Descriptiva'!C106,'📁 Panel CMF'!$M$3:$M$93)</f>
        <v>579540.57142857148</v>
      </c>
      <c r="F106" s="73" cm="1">
        <f t="array" ref="F106">+MEDIAN(IF('📁 Panel CMF'!$D$3:$D$93=C106,'📁 Panel CMF'!$M$3:$M$93))</f>
        <v>91740</v>
      </c>
      <c r="G106" s="73" cm="1">
        <f t="array" ref="G106">+_xlfn.STDEV.S(IF('📁 Panel CMF'!$D$3:$D$93='Estadística Descriptiva'!C106,'📁 Panel CMF'!$M$3:$M$93))</f>
        <v>1316618.9947466273</v>
      </c>
      <c r="H106" s="73" cm="1">
        <f t="array" ref="H106">+MIN(IF('📁 Panel CMF'!$D$3:$D$93='Estadística Descriptiva'!C106,'📁 Panel CMF'!$M$3:$M$93))</f>
        <v>12762</v>
      </c>
      <c r="I106" s="73" cm="1">
        <f t="array" ref="I106">+MAX(IF('📁 Panel CMF'!$D$3:$D$93='Estadística Descriptiva'!C106,'📁 Panel CMF'!$M$3:$M$93))</f>
        <v>3564043</v>
      </c>
    </row>
    <row r="107" spans="1:9" hidden="1" x14ac:dyDescent="0.3">
      <c r="A107" s="30" t="s">
        <v>129</v>
      </c>
      <c r="B107" s="72" t="s">
        <v>2029</v>
      </c>
      <c r="C107" s="72">
        <v>2025</v>
      </c>
      <c r="D107" s="72">
        <f>COUNTIFS('📁 Panel CMF'!$D$3:$D$93,C107,'📁 Panel CMF'!$E$3:$E$93,"&lt;&gt;")</f>
        <v>7</v>
      </c>
      <c r="E107" s="73">
        <f>+AVERAGEIF('📁 Panel CMF'!$D$3:$D$93,'Estadística Descriptiva'!C107,'📁 Panel CMF'!$M$3:$M$93)</f>
        <v>640272.71428571432</v>
      </c>
      <c r="F107" s="73" cm="1">
        <f t="array" ref="F107">+MEDIAN(IF('📁 Panel CMF'!$D$3:$D$93=C107,'📁 Panel CMF'!$M$3:$M$93))</f>
        <v>103358</v>
      </c>
      <c r="G107" s="73" cm="1">
        <f t="array" ref="G107">+_xlfn.STDEV.S(IF('📁 Panel CMF'!$D$3:$D$93='Estadística Descriptiva'!C107,'📁 Panel CMF'!$M$3:$M$93))</f>
        <v>1455473.847514698</v>
      </c>
      <c r="H107" s="73" cm="1">
        <f t="array" ref="H107">+MIN(IF('📁 Panel CMF'!$D$3:$D$93='Estadística Descriptiva'!C107,'📁 Panel CMF'!$M$3:$M$93))</f>
        <v>13254</v>
      </c>
      <c r="I107" s="73" cm="1">
        <f t="array" ref="I107">+MAX(IF('📁 Panel CMF'!$D$3:$D$93='Estadística Descriptiva'!C107,'📁 Panel CMF'!$M$3:$M$93))</f>
        <v>3939576</v>
      </c>
    </row>
    <row r="108" spans="1:9" hidden="1" x14ac:dyDescent="0.3">
      <c r="A108" s="30" t="s">
        <v>129</v>
      </c>
      <c r="B108" s="72" t="s">
        <v>2030</v>
      </c>
      <c r="C108" s="72">
        <v>2013</v>
      </c>
      <c r="D108" s="72">
        <f>COUNTIFS('📁 Panel CMF'!$D$3:$D$93,C108,'📁 Panel CMF'!$E$3:$E$93,"&lt;&gt;")</f>
        <v>7</v>
      </c>
      <c r="E108" s="73">
        <f>+AVERAGEIF('📁 Panel CMF'!$D$3:$D$93,'Estadística Descriptiva'!C108,'📁 Panel CMF'!$N$3:$N$93)</f>
        <v>62787.242857142861</v>
      </c>
      <c r="F108" s="73" cm="1">
        <f t="array" ref="F108">+MEDIAN(IF('📁 Panel CMF'!$D$3:$D$93=C108,'📁 Panel CMF'!$N$3:$N$93))</f>
        <v>15636.6</v>
      </c>
      <c r="G108" s="73" cm="1">
        <f t="array" ref="G108">+_xlfn.STDEV.S(IF('📁 Panel CMF'!$D$3:$D$93='Estadística Descriptiva'!C108,'📁 Panel CMF'!$N$3:$N$93))</f>
        <v>133390.68276692412</v>
      </c>
      <c r="H108" s="73" cm="1">
        <f t="array" ref="H108">+MIN(IF('📁 Panel CMF'!$D$3:$D$93='Estadística Descriptiva'!C108,'📁 Panel CMF'!$N$3:$N$93))</f>
        <v>5657.7</v>
      </c>
      <c r="I108" s="73" cm="1">
        <f t="array" ref="I108">+MAX(IF('📁 Panel CMF'!$D$3:$D$93='Estadística Descriptiva'!C108,'📁 Panel CMF'!$N$3:$N$93))</f>
        <v>365114.1</v>
      </c>
    </row>
    <row r="109" spans="1:9" hidden="1" x14ac:dyDescent="0.3">
      <c r="A109" s="30" t="s">
        <v>129</v>
      </c>
      <c r="B109" s="72" t="s">
        <v>2030</v>
      </c>
      <c r="C109" s="72">
        <v>2014</v>
      </c>
      <c r="D109" s="72">
        <f>COUNTIFS('📁 Panel CMF'!$D$3:$D$93,C109,'📁 Panel CMF'!$E$3:$E$93,"&lt;&gt;")</f>
        <v>7</v>
      </c>
      <c r="E109" s="73">
        <f>+AVERAGEIF('📁 Panel CMF'!$D$3:$D$93,'Estadística Descriptiva'!C109,'📁 Panel CMF'!$N$3:$N$93)</f>
        <v>64246.1</v>
      </c>
      <c r="F109" s="73" cm="1">
        <f t="array" ref="F109">+MEDIAN(IF('📁 Panel CMF'!$D$3:$D$93=C109,'📁 Panel CMF'!$N$3:$N$93))</f>
        <v>14428</v>
      </c>
      <c r="G109" s="73" cm="1">
        <f t="array" ref="G109">+_xlfn.STDEV.S(IF('📁 Panel CMF'!$D$3:$D$93='Estadística Descriptiva'!C109,'📁 Panel CMF'!$N$3:$N$93))</f>
        <v>140322.73432687233</v>
      </c>
      <c r="H109" s="73" cm="1">
        <f t="array" ref="H109">+MIN(IF('📁 Panel CMF'!$D$3:$D$93='Estadística Descriptiva'!C109,'📁 Panel CMF'!$N$3:$N$93))</f>
        <v>5059</v>
      </c>
      <c r="I109" s="73" cm="1">
        <f t="array" ref="I109">+MAX(IF('📁 Panel CMF'!$D$3:$D$93='Estadística Descriptiva'!C109,'📁 Panel CMF'!$N$3:$N$93))</f>
        <v>382225.8</v>
      </c>
    </row>
    <row r="110" spans="1:9" hidden="1" x14ac:dyDescent="0.3">
      <c r="A110" s="30" t="s">
        <v>129</v>
      </c>
      <c r="B110" s="72" t="s">
        <v>2030</v>
      </c>
      <c r="C110" s="72">
        <v>2015</v>
      </c>
      <c r="D110" s="72">
        <f>COUNTIFS('📁 Panel CMF'!$D$3:$D$93,C110,'📁 Panel CMF'!$E$3:$E$93,"&lt;&gt;")</f>
        <v>7</v>
      </c>
      <c r="E110" s="73">
        <f>+AVERAGEIF('📁 Panel CMF'!$D$3:$D$93,'Estadística Descriptiva'!C110,'📁 Panel CMF'!$N$3:$N$93)</f>
        <v>70201.028571428571</v>
      </c>
      <c r="F110" s="73" cm="1">
        <f t="array" ref="F110">+MEDIAN(IF('📁 Panel CMF'!$D$3:$D$93=C110,'📁 Panel CMF'!$N$3:$N$93))</f>
        <v>16001.2</v>
      </c>
      <c r="G110" s="73" cm="1">
        <f t="array" ref="G110">+_xlfn.STDEV.S(IF('📁 Panel CMF'!$D$3:$D$93='Estadística Descriptiva'!C110,'📁 Panel CMF'!$N$3:$N$93))</f>
        <v>154013.5711153048</v>
      </c>
      <c r="H110" s="73" cm="1">
        <f t="array" ref="H110">+MIN(IF('📁 Panel CMF'!$D$3:$D$93='Estadística Descriptiva'!C110,'📁 Panel CMF'!$N$3:$N$93))</f>
        <v>4608.7</v>
      </c>
      <c r="I110" s="73" cm="1">
        <f t="array" ref="I110">+MAX(IF('📁 Panel CMF'!$D$3:$D$93='Estadística Descriptiva'!C110,'📁 Panel CMF'!$N$3:$N$93))</f>
        <v>419116.1</v>
      </c>
    </row>
    <row r="111" spans="1:9" hidden="1" x14ac:dyDescent="0.3">
      <c r="A111" s="30" t="s">
        <v>129</v>
      </c>
      <c r="B111" s="72" t="s">
        <v>2030</v>
      </c>
      <c r="C111" s="72">
        <v>2016</v>
      </c>
      <c r="D111" s="72">
        <f>COUNTIFS('📁 Panel CMF'!$D$3:$D$93,C111,'📁 Panel CMF'!$E$3:$E$93,"&lt;&gt;")</f>
        <v>7</v>
      </c>
      <c r="E111" s="73">
        <f>+AVERAGEIF('📁 Panel CMF'!$D$3:$D$93,'Estadística Descriptiva'!C111,'📁 Panel CMF'!$N$3:$N$93)</f>
        <v>76253.342857142867</v>
      </c>
      <c r="F111" s="73" cm="1">
        <f t="array" ref="F111">+MEDIAN(IF('📁 Panel CMF'!$D$3:$D$93=C111,'📁 Panel CMF'!$N$3:$N$93))</f>
        <v>18499.900000000001</v>
      </c>
      <c r="G111" s="73" cm="1">
        <f t="array" ref="G111">+_xlfn.STDEV.S(IF('📁 Panel CMF'!$D$3:$D$93='Estadística Descriptiva'!C111,'📁 Panel CMF'!$N$3:$N$93))</f>
        <v>165824.97300959486</v>
      </c>
      <c r="H111" s="73" cm="1">
        <f t="array" ref="H111">+MIN(IF('📁 Panel CMF'!$D$3:$D$93='Estadística Descriptiva'!C111,'📁 Panel CMF'!$N$3:$N$93))</f>
        <v>4878</v>
      </c>
      <c r="I111" s="73" cm="1">
        <f t="array" ref="I111">+MAX(IF('📁 Panel CMF'!$D$3:$D$93='Estadística Descriptiva'!C111,'📁 Panel CMF'!$N$3:$N$93))</f>
        <v>451853.4</v>
      </c>
    </row>
    <row r="112" spans="1:9" hidden="1" x14ac:dyDescent="0.3">
      <c r="A112" s="30" t="s">
        <v>129</v>
      </c>
      <c r="B112" s="72" t="s">
        <v>2030</v>
      </c>
      <c r="C112" s="72">
        <v>2017</v>
      </c>
      <c r="D112" s="72">
        <f>COUNTIFS('📁 Panel CMF'!$D$3:$D$93,C112,'📁 Panel CMF'!$E$3:$E$93,"&lt;&gt;")</f>
        <v>7</v>
      </c>
      <c r="E112" s="73">
        <f>+AVERAGEIF('📁 Panel CMF'!$D$3:$D$93,'Estadística Descriptiva'!C112,'📁 Panel CMF'!$N$3:$N$93)</f>
        <v>72859</v>
      </c>
      <c r="F112" s="73" cm="1">
        <f t="array" ref="F112">+MEDIAN(IF('📁 Panel CMF'!$D$3:$D$93=C112,'📁 Panel CMF'!$N$3:$N$93))</f>
        <v>19039</v>
      </c>
      <c r="G112" s="73" cm="1">
        <f t="array" ref="G112">+_xlfn.STDEV.S(IF('📁 Panel CMF'!$D$3:$D$93='Estadística Descriptiva'!C112,'📁 Panel CMF'!$N$3:$N$93))</f>
        <v>155478.63339271626</v>
      </c>
      <c r="H112" s="73" cm="1">
        <f t="array" ref="H112">+MIN(IF('📁 Panel CMF'!$D$3:$D$93='Estadística Descriptiva'!C112,'📁 Panel CMF'!$N$3:$N$93))</f>
        <v>4357</v>
      </c>
      <c r="I112" s="73" cm="1">
        <f t="array" ref="I112">+MAX(IF('📁 Panel CMF'!$D$3:$D$93='Estadística Descriptiva'!C112,'📁 Panel CMF'!$N$3:$N$93))</f>
        <v>424947</v>
      </c>
    </row>
    <row r="113" spans="1:9" hidden="1" x14ac:dyDescent="0.3">
      <c r="A113" s="30" t="s">
        <v>129</v>
      </c>
      <c r="B113" s="72" t="s">
        <v>2030</v>
      </c>
      <c r="C113" s="72">
        <v>2018</v>
      </c>
      <c r="D113" s="72">
        <f>COUNTIFS('📁 Panel CMF'!$D$3:$D$93,C113,'📁 Panel CMF'!$E$3:$E$93,"&lt;&gt;")</f>
        <v>7</v>
      </c>
      <c r="E113" s="73">
        <f>+AVERAGEIF('📁 Panel CMF'!$D$3:$D$93,'Estadística Descriptiva'!C113,'📁 Panel CMF'!$N$3:$N$93)</f>
        <v>76965.28571428571</v>
      </c>
      <c r="F113" s="73" cm="1">
        <f t="array" ref="F113">+MEDIAN(IF('📁 Panel CMF'!$D$3:$D$93=C113,'📁 Panel CMF'!$N$3:$N$93))</f>
        <v>20123</v>
      </c>
      <c r="G113" s="73" cm="1">
        <f t="array" ref="G113">+_xlfn.STDEV.S(IF('📁 Panel CMF'!$D$3:$D$93='Estadística Descriptiva'!C113,'📁 Panel CMF'!$N$3:$N$93))</f>
        <v>164481.65834596299</v>
      </c>
      <c r="H113" s="73" cm="1">
        <f t="array" ref="H113">+MIN(IF('📁 Panel CMF'!$D$3:$D$93='Estadística Descriptiva'!C113,'📁 Panel CMF'!$N$3:$N$93))</f>
        <v>5988</v>
      </c>
      <c r="I113" s="73" cm="1">
        <f t="array" ref="I113">+MAX(IF('📁 Panel CMF'!$D$3:$D$93='Estadística Descriptiva'!C113,'📁 Panel CMF'!$N$3:$N$93))</f>
        <v>449473</v>
      </c>
    </row>
    <row r="114" spans="1:9" hidden="1" x14ac:dyDescent="0.3">
      <c r="A114" s="30" t="s">
        <v>129</v>
      </c>
      <c r="B114" s="72" t="s">
        <v>2030</v>
      </c>
      <c r="C114" s="72">
        <v>2019</v>
      </c>
      <c r="D114" s="72">
        <f>COUNTIFS('📁 Panel CMF'!$D$3:$D$93,C114,'📁 Panel CMF'!$E$3:$E$93,"&lt;&gt;")</f>
        <v>7</v>
      </c>
      <c r="E114" s="73">
        <f>+AVERAGEIF('📁 Panel CMF'!$D$3:$D$93,'Estadística Descriptiva'!C114,'📁 Panel CMF'!$N$3:$N$93)</f>
        <v>82439.28571428571</v>
      </c>
      <c r="F114" s="73" cm="1">
        <f t="array" ref="F114">+MEDIAN(IF('📁 Panel CMF'!$D$3:$D$93=C114,'📁 Panel CMF'!$N$3:$N$93))</f>
        <v>21199</v>
      </c>
      <c r="G114" s="73" cm="1">
        <f t="array" ref="G114">+_xlfn.STDEV.S(IF('📁 Panel CMF'!$D$3:$D$93='Estadística Descriptiva'!C114,'📁 Panel CMF'!$N$3:$N$93))</f>
        <v>176336.73076315693</v>
      </c>
      <c r="H114" s="73" cm="1">
        <f t="array" ref="H114">+MIN(IF('📁 Panel CMF'!$D$3:$D$93='Estadística Descriptiva'!C114,'📁 Panel CMF'!$N$3:$N$93))</f>
        <v>5871</v>
      </c>
      <c r="I114" s="73" cm="1">
        <f t="array" ref="I114">+MAX(IF('📁 Panel CMF'!$D$3:$D$93='Estadística Descriptiva'!C114,'📁 Panel CMF'!$N$3:$N$93))</f>
        <v>481822</v>
      </c>
    </row>
    <row r="115" spans="1:9" hidden="1" x14ac:dyDescent="0.3">
      <c r="A115" s="30" t="s">
        <v>129</v>
      </c>
      <c r="B115" s="72" t="s">
        <v>2030</v>
      </c>
      <c r="C115" s="72">
        <v>2020</v>
      </c>
      <c r="D115" s="72">
        <f>COUNTIFS('📁 Panel CMF'!$D$3:$D$93,C115,'📁 Panel CMF'!$E$3:$E$93,"&lt;&gt;")</f>
        <v>7</v>
      </c>
      <c r="E115" s="73">
        <f>+AVERAGEIF('📁 Panel CMF'!$D$3:$D$93,'Estadística Descriptiva'!C115,'📁 Panel CMF'!$N$3:$N$93)</f>
        <v>88886</v>
      </c>
      <c r="F115" s="73" cm="1">
        <f t="array" ref="F115">+MEDIAN(IF('📁 Panel CMF'!$D$3:$D$93=C115,'📁 Panel CMF'!$N$3:$N$93))</f>
        <v>22393</v>
      </c>
      <c r="G115" s="73" cm="1">
        <f t="array" ref="G115">+_xlfn.STDEV.S(IF('📁 Panel CMF'!$D$3:$D$93='Estadística Descriptiva'!C115,'📁 Panel CMF'!$N$3:$N$93))</f>
        <v>191539.34737976597</v>
      </c>
      <c r="H115" s="73" cm="1">
        <f t="array" ref="H115">+MIN(IF('📁 Panel CMF'!$D$3:$D$93='Estadística Descriptiva'!C115,'📁 Panel CMF'!$N$3:$N$93))</f>
        <v>5150</v>
      </c>
      <c r="I115" s="73" cm="1">
        <f t="array" ref="I115">+MAX(IF('📁 Panel CMF'!$D$3:$D$93='Estadística Descriptiva'!C115,'📁 Panel CMF'!$N$3:$N$93))</f>
        <v>522707</v>
      </c>
    </row>
    <row r="116" spans="1:9" hidden="1" x14ac:dyDescent="0.3">
      <c r="A116" s="30" t="s">
        <v>129</v>
      </c>
      <c r="B116" s="72" t="s">
        <v>2030</v>
      </c>
      <c r="C116" s="72">
        <v>2021</v>
      </c>
      <c r="D116" s="72">
        <f>COUNTIFS('📁 Panel CMF'!$D$3:$D$93,C116,'📁 Panel CMF'!$E$3:$E$93,"&lt;&gt;")</f>
        <v>7</v>
      </c>
      <c r="E116" s="73">
        <f>+AVERAGEIF('📁 Panel CMF'!$D$3:$D$93,'Estadística Descriptiva'!C116,'📁 Panel CMF'!$N$3:$N$93)</f>
        <v>94657.857142857145</v>
      </c>
      <c r="F116" s="73" cm="1">
        <f t="array" ref="F116">+MEDIAN(IF('📁 Panel CMF'!$D$3:$D$93=C116,'📁 Panel CMF'!$N$3:$N$93))</f>
        <v>25353</v>
      </c>
      <c r="G116" s="73" cm="1">
        <f t="array" ref="G116">+_xlfn.STDEV.S(IF('📁 Panel CMF'!$D$3:$D$93='Estadística Descriptiva'!C116,'📁 Panel CMF'!$N$3:$N$93))</f>
        <v>204048.64509754253</v>
      </c>
      <c r="H116" s="73" cm="1">
        <f t="array" ref="H116">+MIN(IF('📁 Panel CMF'!$D$3:$D$93='Estadística Descriptiva'!C116,'📁 Panel CMF'!$N$3:$N$93))</f>
        <v>5547</v>
      </c>
      <c r="I116" s="73" cm="1">
        <f t="array" ref="I116">+MAX(IF('📁 Panel CMF'!$D$3:$D$93='Estadística Descriptiva'!C116,'📁 Panel CMF'!$N$3:$N$93))</f>
        <v>556837</v>
      </c>
    </row>
    <row r="117" spans="1:9" hidden="1" x14ac:dyDescent="0.3">
      <c r="A117" s="30" t="s">
        <v>129</v>
      </c>
      <c r="B117" s="72" t="s">
        <v>2030</v>
      </c>
      <c r="C117" s="72">
        <v>2022</v>
      </c>
      <c r="D117" s="72">
        <f>COUNTIFS('📁 Panel CMF'!$D$3:$D$93,C117,'📁 Panel CMF'!$E$3:$E$93,"&lt;&gt;")</f>
        <v>7</v>
      </c>
      <c r="E117" s="73">
        <f>+AVERAGEIF('📁 Panel CMF'!$D$3:$D$93,'Estadística Descriptiva'!C117,'📁 Panel CMF'!$N$3:$N$93)</f>
        <v>107839.28571428571</v>
      </c>
      <c r="F117" s="73" cm="1">
        <f t="array" ref="F117">+MEDIAN(IF('📁 Panel CMF'!$D$3:$D$93=C117,'📁 Panel CMF'!$N$3:$N$93))</f>
        <v>25987</v>
      </c>
      <c r="G117" s="73" cm="1">
        <f t="array" ref="G117">+_xlfn.STDEV.S(IF('📁 Panel CMF'!$D$3:$D$93='Estadística Descriptiva'!C117,'📁 Panel CMF'!$N$3:$N$93))</f>
        <v>235138.89378529327</v>
      </c>
      <c r="H117" s="73" cm="1">
        <f t="array" ref="H117">+MIN(IF('📁 Panel CMF'!$D$3:$D$93='Estadística Descriptiva'!C117,'📁 Panel CMF'!$N$3:$N$93))</f>
        <v>5263</v>
      </c>
      <c r="I117" s="73" cm="1">
        <f t="array" ref="I117">+MAX(IF('📁 Panel CMF'!$D$3:$D$93='Estadística Descriptiva'!C117,'📁 Panel CMF'!$N$3:$N$93))</f>
        <v>640530</v>
      </c>
    </row>
    <row r="118" spans="1:9" hidden="1" x14ac:dyDescent="0.3">
      <c r="A118" s="30" t="s">
        <v>129</v>
      </c>
      <c r="B118" s="72" t="s">
        <v>2030</v>
      </c>
      <c r="C118" s="72">
        <v>2023</v>
      </c>
      <c r="D118" s="72">
        <f>COUNTIFS('📁 Panel CMF'!$D$3:$D$93,C118,'📁 Panel CMF'!$E$3:$E$93,"&lt;&gt;")</f>
        <v>7</v>
      </c>
      <c r="E118" s="73">
        <f>+AVERAGEIF('📁 Panel CMF'!$D$3:$D$93,'Estadística Descriptiva'!C118,'📁 Panel CMF'!$N$3:$N$93)</f>
        <v>111534</v>
      </c>
      <c r="F118" s="73" cm="1">
        <f t="array" ref="F118">+MEDIAN(IF('📁 Panel CMF'!$D$3:$D$93=C118,'📁 Panel CMF'!$N$3:$N$93))</f>
        <v>28155</v>
      </c>
      <c r="G118" s="73" cm="1">
        <f t="array" ref="G118">+_xlfn.STDEV.S(IF('📁 Panel CMF'!$D$3:$D$93='Estadística Descriptiva'!C118,'📁 Panel CMF'!$N$3:$N$93))</f>
        <v>243264.64387507417</v>
      </c>
      <c r="H118" s="73" cm="1">
        <f t="array" ref="H118">+MIN(IF('📁 Panel CMF'!$D$3:$D$93='Estadística Descriptiva'!C118,'📁 Panel CMF'!$N$3:$N$93))</f>
        <v>4422</v>
      </c>
      <c r="I118" s="73" cm="1">
        <f t="array" ref="I118">+MAX(IF('📁 Panel CMF'!$D$3:$D$93='Estadística Descriptiva'!C118,'📁 Panel CMF'!$N$3:$N$93))</f>
        <v>662688</v>
      </c>
    </row>
    <row r="119" spans="1:9" hidden="1" x14ac:dyDescent="0.3">
      <c r="A119" s="30" t="s">
        <v>129</v>
      </c>
      <c r="B119" s="72" t="s">
        <v>2030</v>
      </c>
      <c r="C119" s="72">
        <v>2024</v>
      </c>
      <c r="D119" s="72">
        <f>COUNTIFS('📁 Panel CMF'!$D$3:$D$93,C119,'📁 Panel CMF'!$E$3:$E$93,"&lt;&gt;")</f>
        <v>7</v>
      </c>
      <c r="E119" s="73">
        <f>+AVERAGEIF('📁 Panel CMF'!$D$3:$D$93,'Estadística Descriptiva'!C119,'📁 Panel CMF'!$N$3:$N$93)</f>
        <v>123218.85714285714</v>
      </c>
      <c r="F119" s="73" cm="1">
        <f t="array" ref="F119">+MEDIAN(IF('📁 Panel CMF'!$D$3:$D$93=C119,'📁 Panel CMF'!$N$3:$N$93))</f>
        <v>31289</v>
      </c>
      <c r="G119" s="73" cm="1">
        <f t="array" ref="G119">+_xlfn.STDEV.S(IF('📁 Panel CMF'!$D$3:$D$93='Estadística Descriptiva'!C119,'📁 Panel CMF'!$N$3:$N$93))</f>
        <v>269872.4297697146</v>
      </c>
      <c r="H119" s="73" cm="1">
        <f t="array" ref="H119">+MIN(IF('📁 Panel CMF'!$D$3:$D$93='Estadística Descriptiva'!C119,'📁 Panel CMF'!$N$3:$N$93))</f>
        <v>3624</v>
      </c>
      <c r="I119" s="73" cm="1">
        <f t="array" ref="I119">+MAX(IF('📁 Panel CMF'!$D$3:$D$93='Estadística Descriptiva'!C119,'📁 Panel CMF'!$N$3:$N$93))</f>
        <v>734697</v>
      </c>
    </row>
    <row r="120" spans="1:9" hidden="1" x14ac:dyDescent="0.3">
      <c r="A120" s="30" t="s">
        <v>129</v>
      </c>
      <c r="B120" s="72" t="s">
        <v>2030</v>
      </c>
      <c r="C120" s="72">
        <v>2025</v>
      </c>
      <c r="D120" s="72">
        <f>COUNTIFS('📁 Panel CMF'!$D$3:$D$93,C120,'📁 Panel CMF'!$E$3:$E$93,"&lt;&gt;")</f>
        <v>7</v>
      </c>
      <c r="E120" s="73">
        <f>+AVERAGEIF('📁 Panel CMF'!$D$3:$D$93,'Estadística Descriptiva'!C120,'📁 Panel CMF'!$N$3:$N$93)</f>
        <v>130748.57142857143</v>
      </c>
      <c r="F120" s="73" cm="1">
        <f t="array" ref="F120">+MEDIAN(IF('📁 Panel CMF'!$D$3:$D$93=C120,'📁 Panel CMF'!$N$3:$N$93))</f>
        <v>31905</v>
      </c>
      <c r="G120" s="73" cm="1">
        <f t="array" ref="G120">+_xlfn.STDEV.S(IF('📁 Panel CMF'!$D$3:$D$93='Estadística Descriptiva'!C120,'📁 Panel CMF'!$N$3:$N$93))</f>
        <v>285190.90413081617</v>
      </c>
      <c r="H120" s="73" cm="1">
        <f t="array" ref="H120">+MIN(IF('📁 Panel CMF'!$D$3:$D$93='Estadística Descriptiva'!C120,'📁 Panel CMF'!$N$3:$N$93))</f>
        <v>3328</v>
      </c>
      <c r="I120" s="73" cm="1">
        <f t="array" ref="I120">+MAX(IF('📁 Panel CMF'!$D$3:$D$93='Estadística Descriptiva'!C120,'📁 Panel CMF'!$N$3:$N$93))</f>
        <v>776916</v>
      </c>
    </row>
    <row r="121" spans="1:9" hidden="1" x14ac:dyDescent="0.3">
      <c r="A121" s="30" t="s">
        <v>129</v>
      </c>
      <c r="B121" s="72" t="s">
        <v>2027</v>
      </c>
      <c r="C121" s="72">
        <v>2013</v>
      </c>
      <c r="D121" s="72">
        <f>COUNTIFS('📁 Panel CMF'!$D$3:$D$93,C121,'📁 Panel CMF'!$E$3:$E$93,"&lt;&gt;")</f>
        <v>7</v>
      </c>
      <c r="E121" s="73">
        <f>+AVERAGEIF('📁 Panel CMF'!$D$3:$D$93,'Estadística Descriptiva'!C121,'📁 Panel CMF'!$K$3:$K$93)</f>
        <v>101311.12857142856</v>
      </c>
      <c r="F121" s="73" cm="1">
        <f t="array" ref="F121">+MEDIAN(IF('📁 Panel CMF'!$D$3:$D$93=C121,'📁 Panel CMF'!$K$3:$K$93))</f>
        <v>20566.8</v>
      </c>
      <c r="G121" s="73" cm="1">
        <f t="array" ref="G121">+_xlfn.STDEV.S(IF('📁 Panel CMF'!$D$3:$D$93='Estadística Descriptiva'!C121,'📁 Panel CMF'!$K$3:$K$93))</f>
        <v>179329.93324918102</v>
      </c>
      <c r="H121" s="73" cm="1">
        <f t="array" ref="H121">+MIN(IF('📁 Panel CMF'!$D$3:$D$93='Estadística Descriptiva'!C121,'📁 Panel CMF'!$K$3:$K$93))</f>
        <v>1857.8</v>
      </c>
      <c r="I121" s="73" cm="1">
        <f t="array" ref="I121">+MAX(IF('📁 Panel CMF'!$D$3:$D$93='Estadística Descriptiva'!C121,'📁 Panel CMF'!$K$3:$K$93))</f>
        <v>500278</v>
      </c>
    </row>
    <row r="122" spans="1:9" hidden="1" x14ac:dyDescent="0.3">
      <c r="A122" s="30" t="s">
        <v>129</v>
      </c>
      <c r="B122" s="72" t="s">
        <v>2027</v>
      </c>
      <c r="C122" s="72">
        <v>2014</v>
      </c>
      <c r="D122" s="72">
        <f>COUNTIFS('📁 Panel CMF'!$D$3:$D$93,C122,'📁 Panel CMF'!$E$3:$E$93,"&lt;&gt;")</f>
        <v>7</v>
      </c>
      <c r="E122" s="73">
        <f>+AVERAGEIF('📁 Panel CMF'!$D$3:$D$93,'Estadística Descriptiva'!C122,'📁 Panel CMF'!$K$3:$K$93)</f>
        <v>102303.55714285714</v>
      </c>
      <c r="F122" s="73" cm="1">
        <f t="array" ref="F122">+MEDIAN(IF('📁 Panel CMF'!$D$3:$D$93=C122,'📁 Panel CMF'!$K$3:$K$93))</f>
        <v>20696.8</v>
      </c>
      <c r="G122" s="73" cm="1">
        <f t="array" ref="G122">+_xlfn.STDEV.S(IF('📁 Panel CMF'!$D$3:$D$93='Estadística Descriptiva'!C122,'📁 Panel CMF'!$K$3:$K$93))</f>
        <v>179911.52190208071</v>
      </c>
      <c r="H122" s="73" cm="1">
        <f t="array" ref="H122">+MIN(IF('📁 Panel CMF'!$D$3:$D$93='Estadística Descriptiva'!C122,'📁 Panel CMF'!$K$3:$K$93))</f>
        <v>2328.6</v>
      </c>
      <c r="I122" s="73" cm="1">
        <f t="array" ref="I122">+MAX(IF('📁 Panel CMF'!$D$3:$D$93='Estadística Descriptiva'!C122,'📁 Panel CMF'!$K$3:$K$93))</f>
        <v>502677.4</v>
      </c>
    </row>
    <row r="123" spans="1:9" hidden="1" x14ac:dyDescent="0.3">
      <c r="A123" s="30" t="s">
        <v>129</v>
      </c>
      <c r="B123" s="72" t="s">
        <v>2027</v>
      </c>
      <c r="C123" s="72">
        <v>2015</v>
      </c>
      <c r="D123" s="72">
        <f>COUNTIFS('📁 Panel CMF'!$D$3:$D$93,C123,'📁 Panel CMF'!$E$3:$E$93,"&lt;&gt;")</f>
        <v>7</v>
      </c>
      <c r="E123" s="73">
        <f>+AVERAGEIF('📁 Panel CMF'!$D$3:$D$93,'Estadística Descriptiva'!C123,'📁 Panel CMF'!$K$3:$K$93)</f>
        <v>106036.27142857143</v>
      </c>
      <c r="F123" s="73" cm="1">
        <f t="array" ref="F123">+MEDIAN(IF('📁 Panel CMF'!$D$3:$D$93=C123,'📁 Panel CMF'!$K$3:$K$93))</f>
        <v>23133.7</v>
      </c>
      <c r="G123" s="73" cm="1">
        <f t="array" ref="G123">+_xlfn.STDEV.S(IF('📁 Panel CMF'!$D$3:$D$93='Estadística Descriptiva'!C123,'📁 Panel CMF'!$K$3:$K$93))</f>
        <v>190658.83046578002</v>
      </c>
      <c r="H123" s="73" cm="1">
        <f t="array" ref="H123">+MIN(IF('📁 Panel CMF'!$D$3:$D$93='Estadística Descriptiva'!C123,'📁 Panel CMF'!$K$3:$K$93))</f>
        <v>4083.7</v>
      </c>
      <c r="I123" s="73" cm="1">
        <f t="array" ref="I123">+MAX(IF('📁 Panel CMF'!$D$3:$D$93='Estadística Descriptiva'!C123,'📁 Panel CMF'!$K$3:$K$93))</f>
        <v>532096.9</v>
      </c>
    </row>
    <row r="124" spans="1:9" hidden="1" x14ac:dyDescent="0.3">
      <c r="A124" s="30" t="s">
        <v>129</v>
      </c>
      <c r="B124" s="72" t="s">
        <v>2027</v>
      </c>
      <c r="C124" s="72">
        <v>2016</v>
      </c>
      <c r="D124" s="72">
        <f>COUNTIFS('📁 Panel CMF'!$D$3:$D$93,C124,'📁 Panel CMF'!$E$3:$E$93,"&lt;&gt;")</f>
        <v>7</v>
      </c>
      <c r="E124" s="73">
        <f>+AVERAGEIF('📁 Panel CMF'!$D$3:$D$93,'Estadística Descriptiva'!C124,'📁 Panel CMF'!$K$3:$K$93)</f>
        <v>120738.41428571429</v>
      </c>
      <c r="F124" s="73" cm="1">
        <f t="array" ref="F124">+MEDIAN(IF('📁 Panel CMF'!$D$3:$D$93=C124,'📁 Panel CMF'!$K$3:$K$93))</f>
        <v>27470.5</v>
      </c>
      <c r="G124" s="73" cm="1">
        <f t="array" ref="G124">+_xlfn.STDEV.S(IF('📁 Panel CMF'!$D$3:$D$93='Estadística Descriptiva'!C124,'📁 Panel CMF'!$K$3:$K$93))</f>
        <v>229800.0784816404</v>
      </c>
      <c r="H124" s="73" cm="1">
        <f t="array" ref="H124">+MIN(IF('📁 Panel CMF'!$D$3:$D$93='Estadística Descriptiva'!C124,'📁 Panel CMF'!$K$3:$K$93))</f>
        <v>4495.6000000000004</v>
      </c>
      <c r="I124" s="73" cm="1">
        <f t="array" ref="I124">+MAX(IF('📁 Panel CMF'!$D$3:$D$93='Estadística Descriptiva'!C124,'📁 Panel CMF'!$K$3:$K$93))</f>
        <v>637382.1</v>
      </c>
    </row>
    <row r="125" spans="1:9" hidden="1" x14ac:dyDescent="0.3">
      <c r="A125" s="30" t="s">
        <v>129</v>
      </c>
      <c r="B125" s="72" t="s">
        <v>2027</v>
      </c>
      <c r="C125" s="72">
        <v>2017</v>
      </c>
      <c r="D125" s="72">
        <f>COUNTIFS('📁 Panel CMF'!$D$3:$D$93,C125,'📁 Panel CMF'!$E$3:$E$93,"&lt;&gt;")</f>
        <v>7</v>
      </c>
      <c r="E125" s="73">
        <f>+AVERAGEIF('📁 Panel CMF'!$D$3:$D$93,'Estadística Descriptiva'!C125,'📁 Panel CMF'!$K$3:$K$93)</f>
        <v>121418</v>
      </c>
      <c r="F125" s="73" cm="1">
        <f t="array" ref="F125">+MEDIAN(IF('📁 Panel CMF'!$D$3:$D$93=C125,'📁 Panel CMF'!$K$3:$K$93))</f>
        <v>29778</v>
      </c>
      <c r="G125" s="73" cm="1">
        <f t="array" ref="G125">+_xlfn.STDEV.S(IF('📁 Panel CMF'!$D$3:$D$93='Estadística Descriptiva'!C125,'📁 Panel CMF'!$K$3:$K$93))</f>
        <v>225846.35171726817</v>
      </c>
      <c r="H125" s="73" cm="1">
        <f t="array" ref="H125">+MIN(IF('📁 Panel CMF'!$D$3:$D$93='Estadística Descriptiva'!C125,'📁 Panel CMF'!$K$3:$K$93))</f>
        <v>6480</v>
      </c>
      <c r="I125" s="73" cm="1">
        <f t="array" ref="I125">+MAX(IF('📁 Panel CMF'!$D$3:$D$93='Estadística Descriptiva'!C125,'📁 Panel CMF'!$K$3:$K$93))</f>
        <v>628690</v>
      </c>
    </row>
    <row r="126" spans="1:9" hidden="1" x14ac:dyDescent="0.3">
      <c r="A126" s="30" t="s">
        <v>129</v>
      </c>
      <c r="B126" s="72" t="s">
        <v>2027</v>
      </c>
      <c r="C126" s="72">
        <v>2018</v>
      </c>
      <c r="D126" s="72">
        <f>COUNTIFS('📁 Panel CMF'!$D$3:$D$93,C126,'📁 Panel CMF'!$E$3:$E$93,"&lt;&gt;")</f>
        <v>7</v>
      </c>
      <c r="E126" s="73">
        <f>+AVERAGEIF('📁 Panel CMF'!$D$3:$D$93,'Estadística Descriptiva'!C126,'📁 Panel CMF'!$K$3:$K$93)</f>
        <v>132276.85714285713</v>
      </c>
      <c r="F126" s="73" cm="1">
        <f t="array" ref="F126">+MEDIAN(IF('📁 Panel CMF'!$D$3:$D$93=C126,'📁 Panel CMF'!$K$3:$K$93))</f>
        <v>35345</v>
      </c>
      <c r="G126" s="73" cm="1">
        <f t="array" ref="G126">+_xlfn.STDEV.S(IF('📁 Panel CMF'!$D$3:$D$93='Estadística Descriptiva'!C126,'📁 Panel CMF'!$K$3:$K$93))</f>
        <v>246866.44380746214</v>
      </c>
      <c r="H126" s="73" cm="1">
        <f t="array" ref="H126">+MIN(IF('📁 Panel CMF'!$D$3:$D$93='Estadística Descriptiva'!C126,'📁 Panel CMF'!$K$3:$K$93))</f>
        <v>8359</v>
      </c>
      <c r="I126" s="73" cm="1">
        <f t="array" ref="I126">+MAX(IF('📁 Panel CMF'!$D$3:$D$93='Estadística Descriptiva'!C126,'📁 Panel CMF'!$K$3:$K$93))</f>
        <v>687709</v>
      </c>
    </row>
    <row r="127" spans="1:9" hidden="1" x14ac:dyDescent="0.3">
      <c r="A127" s="30" t="s">
        <v>129</v>
      </c>
      <c r="B127" s="72" t="s">
        <v>2027</v>
      </c>
      <c r="C127" s="72">
        <v>2019</v>
      </c>
      <c r="D127" s="72">
        <f>COUNTIFS('📁 Panel CMF'!$D$3:$D$93,C127,'📁 Panel CMF'!$E$3:$E$93,"&lt;&gt;")</f>
        <v>7</v>
      </c>
      <c r="E127" s="73">
        <f>+AVERAGEIF('📁 Panel CMF'!$D$3:$D$93,'Estadística Descriptiva'!C127,'📁 Panel CMF'!$K$3:$K$93)</f>
        <v>149525.14285714287</v>
      </c>
      <c r="F127" s="73" cm="1">
        <f t="array" ref="F127">+MEDIAN(IF('📁 Panel CMF'!$D$3:$D$93=C127,'📁 Panel CMF'!$K$3:$K$93))</f>
        <v>40476</v>
      </c>
      <c r="G127" s="73" cm="1">
        <f t="array" ref="G127">+_xlfn.STDEV.S(IF('📁 Panel CMF'!$D$3:$D$93='Estadística Descriptiva'!C127,'📁 Panel CMF'!$K$3:$K$93))</f>
        <v>286109.92729160853</v>
      </c>
      <c r="H127" s="73" cm="1">
        <f t="array" ref="H127">+MIN(IF('📁 Panel CMF'!$D$3:$D$93='Estadística Descriptiva'!C127,'📁 Panel CMF'!$K$3:$K$93))</f>
        <v>8203</v>
      </c>
      <c r="I127" s="73" cm="1">
        <f t="array" ref="I127">+MAX(IF('📁 Panel CMF'!$D$3:$D$93='Estadística Descriptiva'!C127,'📁 Panel CMF'!$K$3:$K$93))</f>
        <v>794678</v>
      </c>
    </row>
    <row r="128" spans="1:9" hidden="1" x14ac:dyDescent="0.3">
      <c r="A128" s="30" t="s">
        <v>129</v>
      </c>
      <c r="B128" s="72" t="s">
        <v>2027</v>
      </c>
      <c r="C128" s="72">
        <v>2020</v>
      </c>
      <c r="D128" s="72">
        <f>COUNTIFS('📁 Panel CMF'!$D$3:$D$93,C128,'📁 Panel CMF'!$E$3:$E$93,"&lt;&gt;")</f>
        <v>7</v>
      </c>
      <c r="E128" s="73">
        <f>+AVERAGEIF('📁 Panel CMF'!$D$3:$D$93,'Estadística Descriptiva'!C128,'📁 Panel CMF'!$K$3:$K$93)</f>
        <v>190841</v>
      </c>
      <c r="F128" s="73" cm="1">
        <f t="array" ref="F128">+MEDIAN(IF('📁 Panel CMF'!$D$3:$D$93=C128,'📁 Panel CMF'!$K$3:$K$93))</f>
        <v>44291</v>
      </c>
      <c r="G128" s="73" cm="1">
        <f t="array" ref="G128">+_xlfn.STDEV.S(IF('📁 Panel CMF'!$D$3:$D$93='Estadística Descriptiva'!C128,'📁 Panel CMF'!$K$3:$K$93))</f>
        <v>390064.96322535817</v>
      </c>
      <c r="H128" s="73" cm="1">
        <f t="array" ref="H128">+MIN(IF('📁 Panel CMF'!$D$3:$D$93='Estadística Descriptiva'!C128,'📁 Panel CMF'!$K$3:$K$93))</f>
        <v>6067</v>
      </c>
      <c r="I128" s="73" cm="1">
        <f t="array" ref="I128">+MAX(IF('📁 Panel CMF'!$D$3:$D$93='Estadística Descriptiva'!C128,'📁 Panel CMF'!$K$3:$K$93))</f>
        <v>1072631</v>
      </c>
    </row>
    <row r="129" spans="1:9" hidden="1" x14ac:dyDescent="0.3">
      <c r="A129" s="30" t="s">
        <v>129</v>
      </c>
      <c r="B129" s="72" t="s">
        <v>2027</v>
      </c>
      <c r="C129" s="72">
        <v>2021</v>
      </c>
      <c r="D129" s="72">
        <f>COUNTIFS('📁 Panel CMF'!$D$3:$D$93,C129,'📁 Panel CMF'!$E$3:$E$93,"&lt;&gt;")</f>
        <v>7</v>
      </c>
      <c r="E129" s="73">
        <f>+AVERAGEIF('📁 Panel CMF'!$D$3:$D$93,'Estadística Descriptiva'!C129,'📁 Panel CMF'!$K$3:$K$93)</f>
        <v>238916.85714285713</v>
      </c>
      <c r="F129" s="73" cm="1">
        <f t="array" ref="F129">+MEDIAN(IF('📁 Panel CMF'!$D$3:$D$93=C129,'📁 Panel CMF'!$K$3:$K$93))</f>
        <v>42108</v>
      </c>
      <c r="G129" s="73" cm="1">
        <f t="array" ref="G129">+_xlfn.STDEV.S(IF('📁 Panel CMF'!$D$3:$D$93='Estadística Descriptiva'!C129,'📁 Panel CMF'!$K$3:$K$93))</f>
        <v>513053.19734261103</v>
      </c>
      <c r="H129" s="73" cm="1">
        <f t="array" ref="H129">+MIN(IF('📁 Panel CMF'!$D$3:$D$93='Estadística Descriptiva'!C129,'📁 Panel CMF'!$K$3:$K$93))</f>
        <v>9493</v>
      </c>
      <c r="I129" s="73" cm="1">
        <f t="array" ref="I129">+MAX(IF('📁 Panel CMF'!$D$3:$D$93='Estadística Descriptiva'!C129,'📁 Panel CMF'!$K$3:$K$93))</f>
        <v>1400262</v>
      </c>
    </row>
    <row r="130" spans="1:9" hidden="1" x14ac:dyDescent="0.3">
      <c r="A130" s="30" t="s">
        <v>129</v>
      </c>
      <c r="B130" s="72" t="s">
        <v>2027</v>
      </c>
      <c r="C130" s="72">
        <v>2022</v>
      </c>
      <c r="D130" s="72">
        <f>COUNTIFS('📁 Panel CMF'!$D$3:$D$93,C130,'📁 Panel CMF'!$E$3:$E$93,"&lt;&gt;")</f>
        <v>7</v>
      </c>
      <c r="E130" s="73">
        <f>+AVERAGEIF('📁 Panel CMF'!$D$3:$D$93,'Estadística Descriptiva'!C130,'📁 Panel CMF'!$K$3:$K$93)</f>
        <v>264473.85714285716</v>
      </c>
      <c r="F130" s="73" cm="1">
        <f t="array" ref="F130">+MEDIAN(IF('📁 Panel CMF'!$D$3:$D$93=C130,'📁 Panel CMF'!$K$3:$K$93))</f>
        <v>48169</v>
      </c>
      <c r="G130" s="73" cm="1">
        <f t="array" ref="G130">+_xlfn.STDEV.S(IF('📁 Panel CMF'!$D$3:$D$93='Estadística Descriptiva'!C130,'📁 Panel CMF'!$K$3:$K$93))</f>
        <v>584510.30883279513</v>
      </c>
      <c r="H130" s="73" cm="1">
        <f t="array" ref="H130">+MIN(IF('📁 Panel CMF'!$D$3:$D$93='Estadística Descriptiva'!C130,'📁 Panel CMF'!$K$3:$K$93))</f>
        <v>8151</v>
      </c>
      <c r="I130" s="73" cm="1">
        <f t="array" ref="I130">+MAX(IF('📁 Panel CMF'!$D$3:$D$93='Estadística Descriptiva'!C130,'📁 Panel CMF'!$K$3:$K$93))</f>
        <v>1588152</v>
      </c>
    </row>
    <row r="131" spans="1:9" hidden="1" x14ac:dyDescent="0.3">
      <c r="A131" s="30" t="s">
        <v>129</v>
      </c>
      <c r="B131" s="72" t="s">
        <v>2027</v>
      </c>
      <c r="C131" s="72">
        <v>2023</v>
      </c>
      <c r="D131" s="72">
        <f>COUNTIFS('📁 Panel CMF'!$D$3:$D$93,C131,'📁 Panel CMF'!$E$3:$E$93,"&lt;&gt;")</f>
        <v>7</v>
      </c>
      <c r="E131" s="73">
        <f>+AVERAGEIF('📁 Panel CMF'!$D$3:$D$93,'Estadística Descriptiva'!C131,'📁 Panel CMF'!$K$3:$K$93)</f>
        <v>318155.57142857142</v>
      </c>
      <c r="F131" s="73" cm="1">
        <f t="array" ref="F131">+MEDIAN(IF('📁 Panel CMF'!$D$3:$D$93=C131,'📁 Panel CMF'!$K$3:$K$93))</f>
        <v>56129</v>
      </c>
      <c r="G131" s="73" cm="1">
        <f t="array" ref="G131">+_xlfn.STDEV.S(IF('📁 Panel CMF'!$D$3:$D$93='Estadística Descriptiva'!C131,'📁 Panel CMF'!$K$3:$K$93))</f>
        <v>715432.92642214359</v>
      </c>
      <c r="H131" s="73" cm="1">
        <f t="array" ref="H131">+MIN(IF('📁 Panel CMF'!$D$3:$D$93='Estadística Descriptiva'!C131,'📁 Panel CMF'!$K$3:$K$93))</f>
        <v>7364</v>
      </c>
      <c r="I131" s="73" cm="1">
        <f t="array" ref="I131">+MAX(IF('📁 Panel CMF'!$D$3:$D$93='Estadística Descriptiva'!C131,'📁 Panel CMF'!$K$3:$K$93))</f>
        <v>1939038</v>
      </c>
    </row>
    <row r="132" spans="1:9" hidden="1" x14ac:dyDescent="0.3">
      <c r="A132" s="30" t="s">
        <v>129</v>
      </c>
      <c r="B132" s="72" t="s">
        <v>2027</v>
      </c>
      <c r="C132" s="72">
        <v>2024</v>
      </c>
      <c r="D132" s="72">
        <f>COUNTIFS('📁 Panel CMF'!$D$3:$D$93,C132,'📁 Panel CMF'!$E$3:$E$93,"&lt;&gt;")</f>
        <v>7</v>
      </c>
      <c r="E132" s="73">
        <f>+AVERAGEIF('📁 Panel CMF'!$D$3:$D$93,'Estadística Descriptiva'!C132,'📁 Panel CMF'!$K$3:$K$93)</f>
        <v>362339.14285714284</v>
      </c>
      <c r="F132" s="73" cm="1">
        <f t="array" ref="F132">+MEDIAN(IF('📁 Panel CMF'!$D$3:$D$93=C132,'📁 Panel CMF'!$K$3:$K$93))</f>
        <v>67995</v>
      </c>
      <c r="G132" s="73" cm="1">
        <f t="array" ref="G132">+_xlfn.STDEV.S(IF('📁 Panel CMF'!$D$3:$D$93='Estadística Descriptiva'!C132,'📁 Panel CMF'!$K$3:$K$93))</f>
        <v>818107.99163953669</v>
      </c>
      <c r="H132" s="73" cm="1">
        <f t="array" ref="H132">+MIN(IF('📁 Panel CMF'!$D$3:$D$93='Estadística Descriptiva'!C132,'📁 Panel CMF'!$K$3:$K$93))</f>
        <v>8734</v>
      </c>
      <c r="I132" s="73" cm="1">
        <f t="array" ref="I132">+MAX(IF('📁 Panel CMF'!$D$3:$D$93='Estadística Descriptiva'!C132,'📁 Panel CMF'!$K$3:$K$93))</f>
        <v>2216207</v>
      </c>
    </row>
    <row r="133" spans="1:9" hidden="1" x14ac:dyDescent="0.3">
      <c r="A133" s="30" t="s">
        <v>129</v>
      </c>
      <c r="B133" s="72" t="s">
        <v>2027</v>
      </c>
      <c r="C133" s="72">
        <v>2025</v>
      </c>
      <c r="D133" s="72">
        <f>COUNTIFS('📁 Panel CMF'!$D$3:$D$93,C133,'📁 Panel CMF'!$E$3:$E$93,"&lt;&gt;")</f>
        <v>7</v>
      </c>
      <c r="E133" s="73">
        <f>+AVERAGEIF('📁 Panel CMF'!$D$3:$D$93,'Estadística Descriptiva'!C133,'📁 Panel CMF'!$K$3:$K$93)</f>
        <v>394477</v>
      </c>
      <c r="F133" s="73" cm="1">
        <f t="array" ref="F133">+MEDIAN(IF('📁 Panel CMF'!$D$3:$D$93=C133,'📁 Panel CMF'!$K$3:$K$93))</f>
        <v>73135</v>
      </c>
      <c r="G133" s="73" cm="1">
        <f t="array" ref="G133">+_xlfn.STDEV.S(IF('📁 Panel CMF'!$D$3:$D$93='Estadística Descriptiva'!C133,'📁 Panel CMF'!$K$3:$K$93))</f>
        <v>885859.40838938998</v>
      </c>
      <c r="H133" s="73" cm="1">
        <f t="array" ref="H133">+MIN(IF('📁 Panel CMF'!$D$3:$D$93='Estadística Descriptiva'!C133,'📁 Panel CMF'!$K$3:$K$93))</f>
        <v>9437</v>
      </c>
      <c r="I133" s="73" cm="1">
        <f t="array" ref="I133">+MAX(IF('📁 Panel CMF'!$D$3:$D$93='Estadística Descriptiva'!C133,'📁 Panel CMF'!$K$3:$K$93))</f>
        <v>2402025</v>
      </c>
    </row>
    <row r="134" spans="1:9" hidden="1" x14ac:dyDescent="0.3">
      <c r="A134" s="30" t="s">
        <v>129</v>
      </c>
      <c r="B134" s="72" t="s">
        <v>2028</v>
      </c>
      <c r="C134" s="72">
        <v>2013</v>
      </c>
      <c r="D134" s="72">
        <f>COUNTIFS('📁 Panel CMF'!$D$3:$D$93,C134,'📁 Panel CMF'!$E$3:$E$93,"&lt;&gt;")</f>
        <v>7</v>
      </c>
      <c r="E134" s="73">
        <f>+AVERAGEIF('📁 Panel CMF'!$D$3:$D$93,'Estadística Descriptiva'!C134,'📁 Panel CMF'!$L$3:$L$93)</f>
        <v>182063.01428571431</v>
      </c>
      <c r="F134" s="73" cm="1">
        <f t="array" ref="F134">+MEDIAN(IF('📁 Panel CMF'!$D$3:$D$93=C134,'📁 Panel CMF'!$L$3:$L$93))</f>
        <v>25922</v>
      </c>
      <c r="G134" s="73" cm="1">
        <f t="array" ref="G134">+_xlfn.STDEV.S(IF('📁 Panel CMF'!$D$3:$D$93='Estadística Descriptiva'!C134,'📁 Panel CMF'!$L$3:$L$93))</f>
        <v>381401.60211537924</v>
      </c>
      <c r="H134" s="73" cm="1">
        <f t="array" ref="H134">+MIN(IF('📁 Panel CMF'!$D$3:$D$93='Estadística Descriptiva'!C134,'📁 Panel CMF'!$L$3:$L$93))</f>
        <v>13354.8</v>
      </c>
      <c r="I134" s="73" cm="1">
        <f t="array" ref="I134">+MAX(IF('📁 Panel CMF'!$D$3:$D$93='Estadística Descriptiva'!C134,'📁 Panel CMF'!$L$3:$L$93))</f>
        <v>1044295.6</v>
      </c>
    </row>
    <row r="135" spans="1:9" hidden="1" x14ac:dyDescent="0.3">
      <c r="A135" s="30" t="s">
        <v>129</v>
      </c>
      <c r="B135" s="72" t="s">
        <v>2028</v>
      </c>
      <c r="C135" s="72">
        <v>2014</v>
      </c>
      <c r="D135" s="72">
        <f>COUNTIFS('📁 Panel CMF'!$D$3:$D$93,C135,'📁 Panel CMF'!$E$3:$E$93,"&lt;&gt;")</f>
        <v>7</v>
      </c>
      <c r="E135" s="73">
        <f>+AVERAGEIF('📁 Panel CMF'!$D$3:$D$93,'Estadística Descriptiva'!C135,'📁 Panel CMF'!$L$3:$L$93)</f>
        <v>180968.35714285713</v>
      </c>
      <c r="F135" s="73" cm="1">
        <f t="array" ref="F135">+MEDIAN(IF('📁 Panel CMF'!$D$3:$D$93=C135,'📁 Panel CMF'!$L$3:$L$93))</f>
        <v>19610.900000000001</v>
      </c>
      <c r="G135" s="73" cm="1">
        <f t="array" ref="G135">+_xlfn.STDEV.S(IF('📁 Panel CMF'!$D$3:$D$93='Estadística Descriptiva'!C135,'📁 Panel CMF'!$L$3:$L$93))</f>
        <v>386539.18200339819</v>
      </c>
      <c r="H135" s="73" cm="1">
        <f t="array" ref="H135">+MIN(IF('📁 Panel CMF'!$D$3:$D$93='Estadística Descriptiva'!C135,'📁 Panel CMF'!$L$3:$L$93))</f>
        <v>12100.4</v>
      </c>
      <c r="I135" s="73" cm="1">
        <f t="array" ref="I135">+MAX(IF('📁 Panel CMF'!$D$3:$D$93='Estadística Descriptiva'!C135,'📁 Panel CMF'!$L$3:$L$93))</f>
        <v>1055305.7</v>
      </c>
    </row>
    <row r="136" spans="1:9" hidden="1" x14ac:dyDescent="0.3">
      <c r="A136" s="30" t="s">
        <v>129</v>
      </c>
      <c r="B136" s="72" t="s">
        <v>2028</v>
      </c>
      <c r="C136" s="72">
        <v>2015</v>
      </c>
      <c r="D136" s="72">
        <f>COUNTIFS('📁 Panel CMF'!$D$3:$D$93,C136,'📁 Panel CMF'!$E$3:$E$93,"&lt;&gt;")</f>
        <v>7</v>
      </c>
      <c r="E136" s="73">
        <f>+AVERAGEIF('📁 Panel CMF'!$D$3:$D$93,'Estadística Descriptiva'!C136,'📁 Panel CMF'!$L$3:$L$93)</f>
        <v>190143.09999999995</v>
      </c>
      <c r="F136" s="73" cm="1">
        <f t="array" ref="F136">+MEDIAN(IF('📁 Panel CMF'!$D$3:$D$93=C136,'📁 Panel CMF'!$L$3:$L$93))</f>
        <v>22045.1</v>
      </c>
      <c r="G136" s="73" cm="1">
        <f t="array" ref="G136">+_xlfn.STDEV.S(IF('📁 Panel CMF'!$D$3:$D$93='Estadística Descriptiva'!C136,'📁 Panel CMF'!$L$3:$L$93))</f>
        <v>408721.01669031329</v>
      </c>
      <c r="H136" s="73" cm="1">
        <f t="array" ref="H136">+MIN(IF('📁 Panel CMF'!$D$3:$D$93='Estadística Descriptiva'!C136,'📁 Panel CMF'!$L$3:$L$93))</f>
        <v>12456.7</v>
      </c>
      <c r="I136" s="73" cm="1">
        <f t="array" ref="I136">+MAX(IF('📁 Panel CMF'!$D$3:$D$93='Estadística Descriptiva'!C136,'📁 Panel CMF'!$L$3:$L$93))</f>
        <v>1115058.7</v>
      </c>
    </row>
    <row r="137" spans="1:9" hidden="1" x14ac:dyDescent="0.3">
      <c r="A137" s="30" t="s">
        <v>129</v>
      </c>
      <c r="B137" s="72" t="s">
        <v>2028</v>
      </c>
      <c r="C137" s="72">
        <v>2016</v>
      </c>
      <c r="D137" s="72">
        <f>COUNTIFS('📁 Panel CMF'!$D$3:$D$93,C137,'📁 Panel CMF'!$E$3:$E$93,"&lt;&gt;")</f>
        <v>7</v>
      </c>
      <c r="E137" s="73">
        <f>+AVERAGEIF('📁 Panel CMF'!$D$3:$D$93,'Estadística Descriptiva'!C137,'📁 Panel CMF'!$L$3:$L$93)</f>
        <v>202499.3</v>
      </c>
      <c r="F137" s="73" cm="1">
        <f t="array" ref="F137">+MEDIAN(IF('📁 Panel CMF'!$D$3:$D$93=C137,'📁 Panel CMF'!$L$3:$L$93))</f>
        <v>26592.6</v>
      </c>
      <c r="G137" s="73" cm="1">
        <f t="array" ref="G137">+_xlfn.STDEV.S(IF('📁 Panel CMF'!$D$3:$D$93='Estadística Descriptiva'!C137,'📁 Panel CMF'!$L$3:$L$93))</f>
        <v>437623.09744799422</v>
      </c>
      <c r="H137" s="73" cm="1">
        <f t="array" ref="H137">+MIN(IF('📁 Panel CMF'!$D$3:$D$93='Estadística Descriptiva'!C137,'📁 Panel CMF'!$L$3:$L$93))</f>
        <v>13557.6</v>
      </c>
      <c r="I137" s="73" cm="1">
        <f t="array" ref="I137">+MAX(IF('📁 Panel CMF'!$D$3:$D$93='Estadística Descriptiva'!C137,'📁 Panel CMF'!$L$3:$L$93))</f>
        <v>1193349.8999999999</v>
      </c>
    </row>
    <row r="138" spans="1:9" hidden="1" x14ac:dyDescent="0.3">
      <c r="A138" s="30" t="s">
        <v>129</v>
      </c>
      <c r="B138" s="72" t="s">
        <v>2028</v>
      </c>
      <c r="C138" s="72">
        <v>2017</v>
      </c>
      <c r="D138" s="72">
        <f>COUNTIFS('📁 Panel CMF'!$D$3:$D$93,C138,'📁 Panel CMF'!$E$3:$E$93,"&lt;&gt;")</f>
        <v>7</v>
      </c>
      <c r="E138" s="73">
        <f>+AVERAGEIF('📁 Panel CMF'!$D$3:$D$93,'Estadística Descriptiva'!C138,'📁 Panel CMF'!$L$3:$L$93)</f>
        <v>223305.14285714287</v>
      </c>
      <c r="F138" s="73" cm="1">
        <f t="array" ref="F138">+MEDIAN(IF('📁 Panel CMF'!$D$3:$D$93=C138,'📁 Panel CMF'!$L$3:$L$93))</f>
        <v>35242</v>
      </c>
      <c r="G138" s="73" cm="1">
        <f t="array" ref="G138">+_xlfn.STDEV.S(IF('📁 Panel CMF'!$D$3:$D$93='Estadística Descriptiva'!C138,'📁 Panel CMF'!$L$3:$L$93))</f>
        <v>478360.16736186994</v>
      </c>
      <c r="H138" s="73" cm="1">
        <f t="array" ref="H138">+MIN(IF('📁 Panel CMF'!$D$3:$D$93='Estadística Descriptiva'!C138,'📁 Panel CMF'!$L$3:$L$93))</f>
        <v>13864</v>
      </c>
      <c r="I138" s="73" cm="1">
        <f t="array" ref="I138">+MAX(IF('📁 Panel CMF'!$D$3:$D$93='Estadística Descriptiva'!C138,'📁 Panel CMF'!$L$3:$L$93))</f>
        <v>1306487</v>
      </c>
    </row>
    <row r="139" spans="1:9" hidden="1" x14ac:dyDescent="0.3">
      <c r="A139" s="30" t="s">
        <v>129</v>
      </c>
      <c r="B139" s="72" t="s">
        <v>2028</v>
      </c>
      <c r="C139" s="72">
        <v>2018</v>
      </c>
      <c r="D139" s="72">
        <f>COUNTIFS('📁 Panel CMF'!$D$3:$D$93,C139,'📁 Panel CMF'!$E$3:$E$93,"&lt;&gt;")</f>
        <v>7</v>
      </c>
      <c r="E139" s="73">
        <f>+AVERAGEIF('📁 Panel CMF'!$D$3:$D$93,'Estadística Descriptiva'!C139,'📁 Panel CMF'!$L$3:$L$93)</f>
        <v>238548</v>
      </c>
      <c r="F139" s="73" cm="1">
        <f t="array" ref="F139">+MEDIAN(IF('📁 Panel CMF'!$D$3:$D$93=C139,'📁 Panel CMF'!$L$3:$L$93))</f>
        <v>29764</v>
      </c>
      <c r="G139" s="73" cm="1">
        <f t="array" ref="G139">+_xlfn.STDEV.S(IF('📁 Panel CMF'!$D$3:$D$93='Estadística Descriptiva'!C139,'📁 Panel CMF'!$L$3:$L$93))</f>
        <v>519102.63128274225</v>
      </c>
      <c r="H139" s="73" cm="1">
        <f t="array" ref="H139">+MIN(IF('📁 Panel CMF'!$D$3:$D$93='Estadística Descriptiva'!C139,'📁 Panel CMF'!$L$3:$L$93))</f>
        <v>12566</v>
      </c>
      <c r="I139" s="73" cm="1">
        <f t="array" ref="I139">+MAX(IF('📁 Panel CMF'!$D$3:$D$93='Estadística Descriptiva'!C139,'📁 Panel CMF'!$L$3:$L$93))</f>
        <v>1414037</v>
      </c>
    </row>
    <row r="140" spans="1:9" hidden="1" x14ac:dyDescent="0.3">
      <c r="A140" s="30" t="s">
        <v>129</v>
      </c>
      <c r="B140" s="72" t="s">
        <v>2028</v>
      </c>
      <c r="C140" s="72">
        <v>2019</v>
      </c>
      <c r="D140" s="72">
        <f>COUNTIFS('📁 Panel CMF'!$D$3:$D$93,C140,'📁 Panel CMF'!$E$3:$E$93,"&lt;&gt;")</f>
        <v>7</v>
      </c>
      <c r="E140" s="73">
        <f>+AVERAGEIF('📁 Panel CMF'!$D$3:$D$93,'Estadística Descriptiva'!C140,'📁 Panel CMF'!$L$3:$L$93)</f>
        <v>259508.14285714287</v>
      </c>
      <c r="F140" s="73" cm="1">
        <f t="array" ref="F140">+MEDIAN(IF('📁 Panel CMF'!$D$3:$D$93=C140,'📁 Panel CMF'!$L$3:$L$93))</f>
        <v>40909</v>
      </c>
      <c r="G140" s="73" cm="1">
        <f t="array" ref="G140">+_xlfn.STDEV.S(IF('📁 Panel CMF'!$D$3:$D$93='Estadística Descriptiva'!C140,'📁 Panel CMF'!$L$3:$L$93))</f>
        <v>562674.30399726762</v>
      </c>
      <c r="H140" s="73" cm="1">
        <f t="array" ref="H140">+MIN(IF('📁 Panel CMF'!$D$3:$D$93='Estadística Descriptiva'!C140,'📁 Panel CMF'!$L$3:$L$93))</f>
        <v>11034</v>
      </c>
      <c r="I140" s="73" cm="1">
        <f t="array" ref="I140">+MAX(IF('📁 Panel CMF'!$D$3:$D$93='Estadística Descriptiva'!C140,'📁 Panel CMF'!$L$3:$L$93))</f>
        <v>1533842</v>
      </c>
    </row>
    <row r="141" spans="1:9" hidden="1" x14ac:dyDescent="0.3">
      <c r="A141" s="30" t="s">
        <v>129</v>
      </c>
      <c r="B141" s="72" t="s">
        <v>2028</v>
      </c>
      <c r="C141" s="72">
        <v>2020</v>
      </c>
      <c r="D141" s="72">
        <f>COUNTIFS('📁 Panel CMF'!$D$3:$D$93,C141,'📁 Panel CMF'!$E$3:$E$93,"&lt;&gt;")</f>
        <v>7</v>
      </c>
      <c r="E141" s="73">
        <f>+AVERAGEIF('📁 Panel CMF'!$D$3:$D$93,'Estadística Descriptiva'!C141,'📁 Panel CMF'!$L$3:$L$93)</f>
        <v>263693.42857142858</v>
      </c>
      <c r="F141" s="73" cm="1">
        <f t="array" ref="F141">+MEDIAN(IF('📁 Panel CMF'!$D$3:$D$93=C141,'📁 Panel CMF'!$L$3:$L$93))</f>
        <v>40506</v>
      </c>
      <c r="G141" s="73" cm="1">
        <f t="array" ref="G141">+_xlfn.STDEV.S(IF('📁 Panel CMF'!$D$3:$D$93='Estadística Descriptiva'!C141,'📁 Panel CMF'!$L$3:$L$93))</f>
        <v>580802.18684903299</v>
      </c>
      <c r="H141" s="73" cm="1">
        <f t="array" ref="H141">+MIN(IF('📁 Panel CMF'!$D$3:$D$93='Estadística Descriptiva'!C141,'📁 Panel CMF'!$L$3:$L$93))</f>
        <v>8931</v>
      </c>
      <c r="I141" s="73" cm="1">
        <f t="array" ref="I141">+MAX(IF('📁 Panel CMF'!$D$3:$D$93='Estadística Descriptiva'!C141,'📁 Panel CMF'!$L$3:$L$93))</f>
        <v>1579510</v>
      </c>
    </row>
    <row r="142" spans="1:9" hidden="1" x14ac:dyDescent="0.3">
      <c r="A142" s="30" t="s">
        <v>129</v>
      </c>
      <c r="B142" s="72" t="s">
        <v>2028</v>
      </c>
      <c r="C142" s="72">
        <v>2021</v>
      </c>
      <c r="D142" s="72">
        <f>COUNTIFS('📁 Panel CMF'!$D$3:$D$93,C142,'📁 Panel CMF'!$E$3:$E$93,"&lt;&gt;")</f>
        <v>7</v>
      </c>
      <c r="E142" s="73">
        <f>+AVERAGEIF('📁 Panel CMF'!$D$3:$D$93,'Estadística Descriptiva'!C142,'📁 Panel CMF'!$L$3:$L$93)</f>
        <v>275333</v>
      </c>
      <c r="F142" s="73" cm="1">
        <f t="array" ref="F142">+MEDIAN(IF('📁 Panel CMF'!$D$3:$D$93=C142,'📁 Panel CMF'!$L$3:$L$93))</f>
        <v>48654</v>
      </c>
      <c r="G142" s="73" cm="1">
        <f t="array" ref="G142">+_xlfn.STDEV.S(IF('📁 Panel CMF'!$D$3:$D$93='Estadística Descriptiva'!C142,'📁 Panel CMF'!$L$3:$L$93))</f>
        <v>600942.82757846441</v>
      </c>
      <c r="H142" s="73" cm="1">
        <f t="array" ref="H142">+MIN(IF('📁 Panel CMF'!$D$3:$D$93='Estadística Descriptiva'!C142,'📁 Panel CMF'!$L$3:$L$93))</f>
        <v>9112</v>
      </c>
      <c r="I142" s="73" cm="1">
        <f t="array" ref="I142">+MAX(IF('📁 Panel CMF'!$D$3:$D$93='Estadística Descriptiva'!C142,'📁 Panel CMF'!$L$3:$L$93))</f>
        <v>1636465</v>
      </c>
    </row>
    <row r="143" spans="1:9" hidden="1" x14ac:dyDescent="0.3">
      <c r="A143" s="30" t="s">
        <v>129</v>
      </c>
      <c r="B143" s="72" t="s">
        <v>2028</v>
      </c>
      <c r="C143" s="72">
        <v>2022</v>
      </c>
      <c r="D143" s="72">
        <f>COUNTIFS('📁 Panel CMF'!$D$3:$D$93,C143,'📁 Panel CMF'!$E$3:$E$93,"&lt;&gt;")</f>
        <v>7</v>
      </c>
      <c r="E143" s="73">
        <f>+AVERAGEIF('📁 Panel CMF'!$D$3:$D$93,'Estadística Descriptiva'!C143,'📁 Panel CMF'!$L$3:$L$93)</f>
        <v>331448.71428571426</v>
      </c>
      <c r="F143" s="73" cm="1">
        <f t="array" ref="F143">+MEDIAN(IF('📁 Panel CMF'!$D$3:$D$93=C143,'📁 Panel CMF'!$L$3:$L$93))</f>
        <v>60155</v>
      </c>
      <c r="G143" s="73" cm="1">
        <f t="array" ref="G143">+_xlfn.STDEV.S(IF('📁 Panel CMF'!$D$3:$D$93='Estadística Descriptiva'!C143,'📁 Panel CMF'!$L$3:$L$93))</f>
        <v>730320.39501046261</v>
      </c>
      <c r="H143" s="73" cm="1">
        <f t="array" ref="H143">+MIN(IF('📁 Panel CMF'!$D$3:$D$93='Estadística Descriptiva'!C143,'📁 Panel CMF'!$L$3:$L$93))</f>
        <v>9300</v>
      </c>
      <c r="I143" s="73" cm="1">
        <f t="array" ref="I143">+MAX(IF('📁 Panel CMF'!$D$3:$D$93='Estadística Descriptiva'!C143,'📁 Panel CMF'!$L$3:$L$93))</f>
        <v>1986043</v>
      </c>
    </row>
    <row r="144" spans="1:9" hidden="1" x14ac:dyDescent="0.3">
      <c r="A144" s="30" t="s">
        <v>129</v>
      </c>
      <c r="B144" s="72" t="s">
        <v>2028</v>
      </c>
      <c r="C144" s="72">
        <v>2023</v>
      </c>
      <c r="D144" s="72">
        <f>COUNTIFS('📁 Panel CMF'!$D$3:$D$93,C144,'📁 Panel CMF'!$E$3:$E$93,"&lt;&gt;")</f>
        <v>7</v>
      </c>
      <c r="E144" s="73">
        <f>+AVERAGEIF('📁 Panel CMF'!$D$3:$D$93,'Estadística Descriptiva'!C144,'📁 Panel CMF'!$L$3:$L$93)</f>
        <v>387023.85714285716</v>
      </c>
      <c r="F144" s="73" cm="1">
        <f t="array" ref="F144">+MEDIAN(IF('📁 Panel CMF'!$D$3:$D$93=C144,'📁 Panel CMF'!$L$3:$L$93))</f>
        <v>70304</v>
      </c>
      <c r="G144" s="73" cm="1">
        <f t="array" ref="G144">+_xlfn.STDEV.S(IF('📁 Panel CMF'!$D$3:$D$93='Estadística Descriptiva'!C144,'📁 Panel CMF'!$L$3:$L$93))</f>
        <v>865154.06613011775</v>
      </c>
      <c r="H144" s="73" cm="1">
        <f t="array" ref="H144">+MIN(IF('📁 Panel CMF'!$D$3:$D$93='Estadística Descriptiva'!C144,'📁 Panel CMF'!$L$3:$L$93))</f>
        <v>9030</v>
      </c>
      <c r="I144" s="73" cm="1">
        <f t="array" ref="I144">+MAX(IF('📁 Panel CMF'!$D$3:$D$93='Estadística Descriptiva'!C144,'📁 Panel CMF'!$L$3:$L$93))</f>
        <v>2347666</v>
      </c>
    </row>
    <row r="145" spans="1:9" hidden="1" x14ac:dyDescent="0.3">
      <c r="A145" s="30" t="s">
        <v>129</v>
      </c>
      <c r="B145" s="72" t="s">
        <v>2028</v>
      </c>
      <c r="C145" s="72">
        <v>2024</v>
      </c>
      <c r="D145" s="72">
        <f>COUNTIFS('📁 Panel CMF'!$D$3:$D$93,C145,'📁 Panel CMF'!$E$3:$E$93,"&lt;&gt;")</f>
        <v>7</v>
      </c>
      <c r="E145" s="73">
        <f>+AVERAGEIF('📁 Panel CMF'!$D$3:$D$93,'Estadística Descriptiva'!C145,'📁 Panel CMF'!$L$3:$L$93)</f>
        <v>434593.14285714284</v>
      </c>
      <c r="F145" s="73" cm="1">
        <f t="array" ref="F145">+MEDIAN(IF('📁 Panel CMF'!$D$3:$D$93=C145,'📁 Panel CMF'!$L$3:$L$93))</f>
        <v>79312</v>
      </c>
      <c r="G145" s="73" cm="1">
        <f t="array" ref="G145">+_xlfn.STDEV.S(IF('📁 Panel CMF'!$D$3:$D$93='Estadística Descriptiva'!C145,'📁 Panel CMF'!$L$3:$L$93))</f>
        <v>969300.97758925019</v>
      </c>
      <c r="H145" s="73" cm="1">
        <f t="array" ref="H145">+MIN(IF('📁 Panel CMF'!$D$3:$D$93='Estadística Descriptiva'!C145,'📁 Panel CMF'!$L$3:$L$93))</f>
        <v>9688</v>
      </c>
      <c r="I145" s="73" cm="1">
        <f t="array" ref="I145">+MAX(IF('📁 Panel CMF'!$D$3:$D$93='Estadística Descriptiva'!C145,'📁 Panel CMF'!$L$3:$L$93))</f>
        <v>2631519</v>
      </c>
    </row>
    <row r="146" spans="1:9" hidden="1" x14ac:dyDescent="0.3">
      <c r="A146" s="30" t="s">
        <v>129</v>
      </c>
      <c r="B146" s="72" t="s">
        <v>2028</v>
      </c>
      <c r="C146" s="72">
        <v>2025</v>
      </c>
      <c r="D146" s="72">
        <f>COUNTIFS('📁 Panel CMF'!$D$3:$D$93,C146,'📁 Panel CMF'!$E$3:$E$93,"&lt;&gt;")</f>
        <v>7</v>
      </c>
      <c r="E146" s="73">
        <f>+AVERAGEIF('📁 Panel CMF'!$D$3:$D$93,'Estadística Descriptiva'!C146,'📁 Panel CMF'!$L$3:$L$93)</f>
        <v>481311.71428571426</v>
      </c>
      <c r="F146" s="73" cm="1">
        <f t="array" ref="F146">+MEDIAN(IF('📁 Panel CMF'!$D$3:$D$93=C146,'📁 Panel CMF'!$L$3:$L$93))</f>
        <v>86573</v>
      </c>
      <c r="G146" s="73" cm="1">
        <f t="array" ref="G146">+_xlfn.STDEV.S(IF('📁 Panel CMF'!$D$3:$D$93='Estadística Descriptiva'!C146,'📁 Panel CMF'!$L$3:$L$93))</f>
        <v>1076874.9222423984</v>
      </c>
      <c r="H146" s="73" cm="1">
        <f t="array" ref="H146">+MIN(IF('📁 Panel CMF'!$D$3:$D$93='Estadística Descriptiva'!C146,'📁 Panel CMF'!$L$3:$L$93))</f>
        <v>8855</v>
      </c>
      <c r="I146" s="73" cm="1">
        <f t="array" ref="I146">+MAX(IF('📁 Panel CMF'!$D$3:$D$93='Estadística Descriptiva'!C146,'📁 Panel CMF'!$L$3:$L$93))</f>
        <v>2922175</v>
      </c>
    </row>
  </sheetData>
  <autoFilter ref="A2:I146" xr:uid="{ECA827F4-D504-4880-916A-C5C931DA2B73}">
    <filterColumn colId="0">
      <filters>
        <filter val="DAES"/>
      </filters>
    </filterColumn>
    <filterColumn colId="2">
      <filters>
        <filter val="2014"/>
      </filters>
    </filterColumn>
  </autoFilter>
  <mergeCells count="1">
    <mergeCell ref="A1:I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📋 Portada</vt:lpstr>
      <vt:lpstr>📊 Agregados DAES</vt:lpstr>
      <vt:lpstr>🏦 Agregados CMF</vt:lpstr>
      <vt:lpstr>🏦 Agregado Total</vt:lpstr>
      <vt:lpstr>📁 Panel DAES</vt:lpstr>
      <vt:lpstr>📁 Panel CMF</vt:lpstr>
      <vt:lpstr>🗺️ Registro CAC</vt:lpstr>
      <vt:lpstr>Cobertura de Datos</vt:lpstr>
      <vt:lpstr>Estadística Descriptiva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</cp:lastModifiedBy>
  <dcterms:created xsi:type="dcterms:W3CDTF">2026-06-01T14:19:57Z</dcterms:created>
  <dcterms:modified xsi:type="dcterms:W3CDTF">2026-06-24T19:45:17Z</dcterms:modified>
</cp:coreProperties>
</file>